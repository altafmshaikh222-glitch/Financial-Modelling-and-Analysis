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9ad465b0b741610/Desktop/Altaf Folder/All about Finance and Learning/Financial Modelling ^0 Analysis/"/>
    </mc:Choice>
  </mc:AlternateContent>
  <xr:revisionPtr revIDLastSave="3" documentId="8_{4ACC2FAF-8A96-4F74-9633-05A0DDF50747}" xr6:coauthVersionLast="47" xr6:coauthVersionMax="47" xr10:uidLastSave="{29D54152-BBAC-4489-89A9-7B6021833CD3}"/>
  <bookViews>
    <workbookView xWindow="-110" yWindow="-110" windowWidth="19420" windowHeight="10420" xr2:uid="{76378438-5397-4FC8-AA21-7140FC13EE9D}"/>
  </bookViews>
  <sheets>
    <sheet name="Sheet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8" i="1" l="1"/>
  <c r="B6" i="1"/>
  <c r="B4" i="1"/>
  <c r="E1" i="1"/>
</calcChain>
</file>

<file path=xl/sharedStrings.xml><?xml version="1.0" encoding="utf-8"?>
<sst xmlns="http://schemas.openxmlformats.org/spreadsheetml/2006/main" count="66" uniqueCount="55">
  <si>
    <t>COMPANY NAME</t>
  </si>
  <si>
    <t>MPHASIS LTD</t>
  </si>
  <si>
    <t>LATEST VERSION</t>
  </si>
  <si>
    <t>PLEASE DO NOT MAKE ANY CHANGES TO THIS SHEET</t>
  </si>
  <si>
    <t>CURRENT VERSION</t>
  </si>
  <si>
    <t>META</t>
  </si>
  <si>
    <t>Number of shares</t>
  </si>
  <si>
    <t>Face Value</t>
  </si>
  <si>
    <t>Current Price</t>
  </si>
  <si>
    <t>Market Capitalization</t>
  </si>
  <si>
    <t>PROFIT &amp; LOSS</t>
  </si>
  <si>
    <t>Report Date</t>
  </si>
  <si>
    <t>Sales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</si>
  <si>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</si>
  <si>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</si>
  <si>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</si>
  <si>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</si>
  <si>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</si>
  <si>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</si>
  <si>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</si>
  <si>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Other Income</t>
  </si>
  <si>
    <t>Depreciation</t>
  </si>
  <si>
    <t>Interest</t>
  </si>
  <si>
    <t>Profit before tax</t>
  </si>
  <si>
    <t>Tax</t>
  </si>
  <si>
    <t>Net profit</t>
  </si>
  <si>
    <t>Dividend Amount</t>
  </si>
  <si>
    <t>Quarters</t>
  </si>
  <si>
    <t>Expenses</t>
  </si>
  <si>
    <t>Operating Profit</t>
  </si>
  <si>
    <t>EBITDA</t>
  </si>
  <si>
    <t>BALANCE SHEET</t>
  </si>
  <si>
    <t>Equity Share Capital</t>
  </si>
  <si>
    <t>Reserves</t>
  </si>
  <si>
    <t>Borrowings</t>
  </si>
  <si>
    <t>Other Liabilities</t>
  </si>
  <si>
    <t>Total</t>
  </si>
  <si>
    <t>Net Block</t>
  </si>
  <si>
    <t>Capital Work in Progress</t>
  </si>
  <si>
    <t>Investments</t>
  </si>
  <si>
    <t>Other Assets</t>
  </si>
  <si>
    <t>Receivables</t>
  </si>
  <si>
    <t>Inventory</t>
  </si>
  <si>
    <t>Cash &amp; Bank</t>
  </si>
  <si>
    <t>No. of Equity Shares</t>
  </si>
  <si>
    <t>New Bonus Shares</t>
  </si>
  <si>
    <t>Face value</t>
  </si>
  <si>
    <t>CASH FLOW:</t>
  </si>
  <si>
    <t>Cash from Operating Activity</t>
  </si>
  <si>
    <t>Cash from Investing Activity</t>
  </si>
  <si>
    <t>Cash from Financing Activity</t>
  </si>
  <si>
    <t>Net Cash Flow</t>
  </si>
  <si>
    <t>PRICE:</t>
  </si>
  <si>
    <t>DERIVED:</t>
  </si>
  <si>
    <t>Adjusted Equity Shares in Cr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</si>
</sst>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 * #,##0.00_ ;_ * \-#,##0.00_ ;_ * &quot;-&quot;??_ ;_ @_ "/>
    <numFmt numFmtId="164" formatCode="[$-409]mmm\-yy;@"/>
    <numFmt numFmtId="165" formatCode="_(* #,##0.00_);_(* \(#,##0.00\);_(* &quot;-&quot;??_);_(@_)"/>
  </numFmts>
  <fonts count="8" x14ac:knownFonts="1">
    <font>
      <sz val="11"/>
      <color theme="1"/>
      <name val="Calibri"/>
      <family val="2"/>
    </font>
    <font>
      <sz val="11"/>
      <color theme="1"/>
      <name val="Calibri"/>
      <family val="2"/>
    </font>
    <font>
      <u/>
      <sz val="11"/>
      <color theme="10"/>
      <name val="Calibri"/>
      <family val="2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5" fillId="2" borderId="0" applyNumberFormat="0" applyBorder="0" applyAlignment="0" applyProtection="0"/>
  </cellStyleXfs>
  <cellXfs count="11">
    <xf numFmtId="0" fontId="0" fillId="0" borderId="0" xfId="0"/>
    <xf numFmtId="43" fontId="4" fillId="0" borderId="0" xfId="1" applyFont="1" applyBorder="1"/>
    <xf numFmtId="43" fontId="0" fillId="0" borderId="0" xfId="1" applyFont="1" applyBorder="1"/>
    <xf numFmtId="164" fontId="6" fillId="3" borderId="0" xfId="1" applyNumberFormat="1" applyFont="1" applyFill="1" applyBorder="1"/>
    <xf numFmtId="164" fontId="6" fillId="3" borderId="0" xfId="0" applyNumberFormat="1" applyFont="1" applyFill="1" applyAlignment="1">
      <alignment horizontal="center"/>
    </xf>
    <xf numFmtId="164" fontId="7" fillId="0" borderId="0" xfId="1" applyNumberFormat="1" applyFont="1" applyFill="1" applyBorder="1"/>
    <xf numFmtId="43" fontId="3" fillId="0" borderId="0" xfId="1" applyFont="1" applyBorder="1"/>
    <xf numFmtId="0" fontId="4" fillId="0" borderId="0" xfId="0" applyFont="1"/>
    <xf numFmtId="165" fontId="0" fillId="0" borderId="0" xfId="1" applyNumberFormat="1" applyFont="1" applyBorder="1"/>
    <xf numFmtId="43" fontId="2" fillId="0" borderId="0" xfId="2" applyNumberFormat="1" applyBorder="1" applyAlignment="1" applyProtection="1">
      <alignment horizontal="center"/>
    </xf>
    <xf numFmtId="43" fontId="6" fillId="2" borderId="0" xfId="3" applyNumberFormat="1" applyFont="1" applyBorder="1" applyAlignment="1">
      <alignment horizontal="center"/>
    </xf>
  </cellXfs>
  <cellStyles count="4">
    <cellStyle name="Accent6 2" xfId="3" xr:uid="{CDE81455-87A6-492A-9DFA-141B3180465C}"/>
    <cellStyle name="Comma" xfId="1" builtinId="3"/>
    <cellStyle name="Hyperlink" xfId="2" builtinId="8"/>
    <cellStyle name="Normal" xfId="0" builtinId="0"/>
  </cellStyles>
  <dxfs count="1">
    <dxf>
      <font>
        <b/>
        <i val="0"/>
        <color theme="0"/>
      </font>
      <fill>
        <patternFill>
          <bgColor theme="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29ad465b0b741610/Desktop/Altaf%20Folder/All%20about%20Finance%20and%20Learning/Financial%20Modelling%20%5e0%20Analysis/Mphasis.xlsx" TargetMode="External"/><Relationship Id="rId1" Type="http://schemas.openxmlformats.org/officeDocument/2006/relationships/externalLinkPath" Target="Mphasi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inancials&gt;"/>
      <sheetName val="HistoricalFS"/>
      <sheetName val="Ratio Analysis"/>
      <sheetName val="Foreacasting"/>
      <sheetName val="Data&gt;"/>
      <sheetName val="Data Sheet"/>
      <sheetName val="Cash Flow statement"/>
    </sheetNames>
    <sheetDataSet>
      <sheetData sheetId="0"/>
      <sheetData sheetId="1"/>
      <sheetData sheetId="2"/>
      <sheetData sheetId="3"/>
      <sheetData sheetId="4"/>
      <sheetData sheetId="5">
        <row r="1">
          <cell r="B1" t="str">
            <v>MPHASIS LTD</v>
          </cell>
        </row>
        <row r="20">
          <cell r="C20">
            <v>29.75</v>
          </cell>
        </row>
        <row r="21">
          <cell r="C21">
            <v>758.62</v>
          </cell>
        </row>
        <row r="22">
          <cell r="C22">
            <v>3817.93</v>
          </cell>
        </row>
      </sheetData>
      <sheetData sheetId="6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F61734-326E-42E4-B5CF-8A0EE98ACF09}">
  <dimension ref="A1:K93"/>
  <sheetViews>
    <sheetView showGridLines="0" tabSelected="1" topLeftCell="A55" zoomScale="83" workbookViewId="0">
      <selection activeCell="A37" sqref="A37"/>
    </sheetView>
  </sheetViews>
  <sheetFormatPr defaultColWidth="8.81640625" defaultRowHeight="14.5" x14ac:dyDescent="0.35"/>
  <cols>
    <col min="1" max="1" width="27.6328125" style="2" bestFit="1" customWidth="1"/>
    <col min="2" max="11" width="13.453125" style="2" bestFit="1" customWidth="1"/>
    <col min="12" max="16384" width="8.81640625" style="2"/>
  </cols>
  <sheetData>
    <row r="1" spans="1:11" s="1" customFormat="1" x14ac:dyDescent="0.35">
      <c r="A1" s="1" t="s">
        <v>0</v>
      </c>
      <c r="B1" s="1" t="s">
        <v>1</v>
      </c>
      <c r="E1" s="9" t="str">
        <f>IF(B2&lt;&gt;B3, "A NEW VERSION OF THE WORKSHEET IS AVAILABLE", "")</f>
        <v/>
      </c>
      <c r="F1" s="9"/>
      <c r="G1" s="9"/>
      <c r="H1" s="9"/>
      <c r="I1" s="9"/>
      <c r="J1" s="9"/>
      <c r="K1" s="9"/>
    </row>
    <row r="2" spans="1:11" x14ac:dyDescent="0.35">
      <c r="A2" s="1" t="s">
        <v>2</v>
      </c>
      <c r="B2" s="2">
        <v>2.1</v>
      </c>
      <c r="E2" s="10" t="s">
        <v>3</v>
      </c>
      <c r="F2" s="10"/>
      <c r="G2" s="10"/>
      <c r="H2" s="10"/>
      <c r="I2" s="10"/>
      <c r="J2" s="10"/>
      <c r="K2" s="10"/>
    </row>
    <row r="3" spans="1:11" x14ac:dyDescent="0.35">
      <c r="A3" s="1" t="s">
        <v>4</v>
      </c>
      <c r="B3" s="2">
        <v>2.1</v>
      </c>
    </row>
    <row r="4" spans="1:11" x14ac:dyDescent="0.35">
      <c r="A4" s="1"/>
      <c r="B4" s="2" t="str">
        <f>'[1]Data Sheet'!B1&amp;" -"</f>
        <v>MPHASIS LTD -</v>
      </c>
    </row>
    <row r="5" spans="1:11" x14ac:dyDescent="0.35">
      <c r="A5" s="1" t="s">
        <v>5</v>
      </c>
    </row>
    <row r="6" spans="1:11" x14ac:dyDescent="0.35">
      <c r="A6" s="2" t="s">
        <v>6</v>
      </c>
      <c r="B6" s="2">
        <f>IF(B9&gt;0, B9/B8, 0)</f>
        <v>19.079925714041753</v>
      </c>
    </row>
    <row r="7" spans="1:11" x14ac:dyDescent="0.35">
      <c r="A7" s="2" t="s">
        <v>7</v>
      </c>
      <c r="B7">
        <v>10</v>
      </c>
    </row>
    <row r="8" spans="1:11" x14ac:dyDescent="0.35">
      <c r="A8" s="2" t="s">
        <v>8</v>
      </c>
      <c r="B8">
        <v>2342.3000000000002</v>
      </c>
      <c r="C8" s="2">
        <f>IFERROR('[1]Data Sheet'!C18,'[1]Data Sheet'!C20:C22)*-1</f>
        <v>0</v>
      </c>
    </row>
    <row r="9" spans="1:11" x14ac:dyDescent="0.35">
      <c r="A9" s="2" t="s">
        <v>9</v>
      </c>
      <c r="B9">
        <v>44690.91</v>
      </c>
    </row>
    <row r="15" spans="1:11" x14ac:dyDescent="0.35">
      <c r="A15" s="1" t="s">
        <v>10</v>
      </c>
    </row>
    <row r="16" spans="1:11" s="5" customFormat="1" x14ac:dyDescent="0.35">
      <c r="A16" s="3" t="s">
        <v>11</v>
      </c>
      <c r="B16" s="4">
        <v>42825</v>
      </c>
      <c r="C16" s="4">
        <v>43190</v>
      </c>
      <c r="D16" s="4">
        <v>43555</v>
      </c>
      <c r="E16" s="4">
        <v>43921</v>
      </c>
      <c r="F16" s="4">
        <v>44286</v>
      </c>
      <c r="G16" s="4">
        <v>44651</v>
      </c>
      <c r="H16" s="4">
        <v>45016</v>
      </c>
      <c r="I16" s="4">
        <v>45382</v>
      </c>
      <c r="J16" s="4">
        <v>45747</v>
      </c>
      <c r="K16" s="4">
        <v>46112</v>
      </c>
    </row>
    <row r="17" spans="1:11" s="6" customFormat="1" x14ac:dyDescent="0.35">
      <c r="A17" s="6" t="s">
        <v>12</v>
      </c>
      <c r="B17">
        <v>6076.36</v>
      </c>
      <c r="C17">
        <v>6545.84</v>
      </c>
      <c r="D17">
        <v>7730.98</v>
      </c>
      <c r="E17">
        <v>8843.5400000000009</v>
      </c>
      <c r="F17">
        <v>9722.31</v>
      </c>
      <c r="G17">
        <v>11961.44</v>
      </c>
      <c r="H17">
        <v>13798.5</v>
      </c>
      <c r="I17">
        <v>13278.52</v>
      </c>
      <c r="J17">
        <v>14229.99</v>
      </c>
      <c r="K17">
        <v>15879.65</v>
      </c>
    </row>
    <row r="18" spans="1:11" s="6" customFormat="1" x14ac:dyDescent="0.35">
      <c r="A18" s="2" t="s">
        <v>13</v>
      </c>
      <c r="B18">
        <v>0.02</v>
      </c>
      <c r="C18"/>
      <c r="D18"/>
      <c r="E18"/>
      <c r="F18"/>
      <c r="G18"/>
      <c r="H18"/>
      <c r="I18"/>
      <c r="J18"/>
      <c r="K18"/>
    </row>
    <row r="19" spans="1:11" s="6" customFormat="1" x14ac:dyDescent="0.35">
      <c r="A19" s="2" t="s">
        <v>14</v>
      </c>
      <c r="B19">
        <v>-4.0999999999999996</v>
      </c>
      <c r="C19"/>
      <c r="D19"/>
      <c r="E19"/>
      <c r="F19"/>
      <c r="G19"/>
      <c r="H19"/>
      <c r="I19"/>
      <c r="J19"/>
      <c r="K19"/>
    </row>
    <row r="20" spans="1:11" s="6" customFormat="1" x14ac:dyDescent="0.35">
      <c r="A20" s="2" t="s">
        <v>15</v>
      </c>
      <c r="B20">
        <v>35.090000000000003</v>
      </c>
      <c r="C20">
        <v>29.75</v>
      </c>
      <c r="D20">
        <v>34.86</v>
      </c>
      <c r="E20">
        <v>39.07</v>
      </c>
      <c r="F20">
        <v>26.14</v>
      </c>
      <c r="G20">
        <v>24.88</v>
      </c>
      <c r="H20">
        <v>26.5</v>
      </c>
      <c r="I20">
        <v>31.16</v>
      </c>
      <c r="J20">
        <v>30.86</v>
      </c>
      <c r="K20">
        <v>27.5</v>
      </c>
    </row>
    <row r="21" spans="1:11" s="6" customFormat="1" x14ac:dyDescent="0.35">
      <c r="A21" s="2" t="s">
        <v>16</v>
      </c>
      <c r="B21">
        <v>511.51</v>
      </c>
      <c r="C21">
        <v>758.62</v>
      </c>
      <c r="D21">
        <v>1102.82</v>
      </c>
      <c r="E21">
        <v>1577.5</v>
      </c>
      <c r="F21">
        <v>1595.56</v>
      </c>
      <c r="G21">
        <v>2144.81</v>
      </c>
      <c r="H21">
        <v>2522.1999999999998</v>
      </c>
      <c r="I21">
        <v>2157.86</v>
      </c>
      <c r="J21">
        <v>2452.6</v>
      </c>
      <c r="K21">
        <v>2920.52</v>
      </c>
    </row>
    <row r="22" spans="1:11" s="6" customFormat="1" x14ac:dyDescent="0.35">
      <c r="A22" s="2" t="s">
        <v>17</v>
      </c>
      <c r="B22">
        <v>3709.56</v>
      </c>
      <c r="C22">
        <v>3817.93</v>
      </c>
      <c r="D22">
        <v>4298.6899999999996</v>
      </c>
      <c r="E22">
        <v>4922.6400000000003</v>
      </c>
      <c r="F22">
        <v>5629.79</v>
      </c>
      <c r="G22">
        <v>7034.5</v>
      </c>
      <c r="H22">
        <v>8075.78</v>
      </c>
      <c r="I22">
        <v>7925.33</v>
      </c>
      <c r="J22">
        <v>8144.66</v>
      </c>
      <c r="K22">
        <v>8918.7099999999991</v>
      </c>
    </row>
    <row r="23" spans="1:11" s="6" customFormat="1" x14ac:dyDescent="0.35">
      <c r="A23" s="2" t="s">
        <v>18</v>
      </c>
      <c r="B23">
        <v>714.52</v>
      </c>
      <c r="C23">
        <v>746.38</v>
      </c>
      <c r="D23">
        <v>849.37</v>
      </c>
      <c r="E23">
        <v>540.34</v>
      </c>
      <c r="F23">
        <v>528.11</v>
      </c>
      <c r="G23">
        <v>461.57</v>
      </c>
      <c r="H23">
        <v>512.75</v>
      </c>
      <c r="I23">
        <v>598.88</v>
      </c>
      <c r="J23">
        <v>597.08000000000004</v>
      </c>
      <c r="K23">
        <v>740.19</v>
      </c>
    </row>
    <row r="24" spans="1:11" s="6" customFormat="1" x14ac:dyDescent="0.35">
      <c r="A24" s="2" t="s">
        <v>19</v>
      </c>
      <c r="B24">
        <v>132.76</v>
      </c>
      <c r="C24">
        <v>130.78</v>
      </c>
      <c r="D24">
        <v>121.41</v>
      </c>
      <c r="E24">
        <v>113.61</v>
      </c>
      <c r="F24">
        <v>139.84</v>
      </c>
      <c r="G24">
        <v>178.08</v>
      </c>
      <c r="H24">
        <v>227.31</v>
      </c>
      <c r="I24">
        <v>143.4</v>
      </c>
      <c r="J24">
        <v>357.81</v>
      </c>
      <c r="K24">
        <v>294.55</v>
      </c>
    </row>
    <row r="25" spans="1:11" s="6" customFormat="1" x14ac:dyDescent="0.35">
      <c r="A25" s="6" t="s">
        <v>20</v>
      </c>
      <c r="B25">
        <v>223.44</v>
      </c>
      <c r="C25">
        <v>149.02000000000001</v>
      </c>
      <c r="D25">
        <v>176.71</v>
      </c>
      <c r="E25">
        <v>177.82</v>
      </c>
      <c r="F25">
        <v>132.94999999999999</v>
      </c>
      <c r="G25">
        <v>160.44999999999999</v>
      </c>
      <c r="H25">
        <v>161.6</v>
      </c>
      <c r="I25">
        <v>217.8</v>
      </c>
      <c r="J25">
        <v>255</v>
      </c>
      <c r="K25">
        <v>290.42</v>
      </c>
    </row>
    <row r="26" spans="1:11" s="6" customFormat="1" x14ac:dyDescent="0.35">
      <c r="A26" s="6" t="s">
        <v>21</v>
      </c>
      <c r="B26">
        <v>79.150000000000006</v>
      </c>
      <c r="C26">
        <v>70.819999999999993</v>
      </c>
      <c r="D26">
        <v>75.84</v>
      </c>
      <c r="E26">
        <v>231.63</v>
      </c>
      <c r="F26">
        <v>241.79</v>
      </c>
      <c r="G26">
        <v>290.75</v>
      </c>
      <c r="H26">
        <v>325.24</v>
      </c>
      <c r="I26">
        <v>410.5</v>
      </c>
      <c r="J26">
        <v>476.34</v>
      </c>
      <c r="K26">
        <v>555.27</v>
      </c>
    </row>
    <row r="27" spans="1:11" s="6" customFormat="1" x14ac:dyDescent="0.35">
      <c r="A27" s="6" t="s">
        <v>22</v>
      </c>
      <c r="B27">
        <v>13.88</v>
      </c>
      <c r="C27">
        <v>13</v>
      </c>
      <c r="D27">
        <v>17.37</v>
      </c>
      <c r="E27">
        <v>81.19</v>
      </c>
      <c r="F27">
        <v>63.42</v>
      </c>
      <c r="G27">
        <v>74.400000000000006</v>
      </c>
      <c r="H27">
        <v>97.26</v>
      </c>
      <c r="I27">
        <v>160.87</v>
      </c>
      <c r="J27">
        <v>165.5</v>
      </c>
      <c r="K27">
        <v>204.06</v>
      </c>
    </row>
    <row r="28" spans="1:11" s="6" customFormat="1" x14ac:dyDescent="0.35">
      <c r="A28" s="6" t="s">
        <v>23</v>
      </c>
      <c r="B28">
        <v>1099.21</v>
      </c>
      <c r="C28">
        <v>1127.58</v>
      </c>
      <c r="D28">
        <v>1407.33</v>
      </c>
      <c r="E28">
        <v>1515.38</v>
      </c>
      <c r="F28">
        <v>1630.61</v>
      </c>
      <c r="G28">
        <v>1912.9</v>
      </c>
      <c r="H28">
        <v>2173.06</v>
      </c>
      <c r="I28">
        <v>2068.3200000000002</v>
      </c>
      <c r="J28">
        <v>2260.14</v>
      </c>
      <c r="K28">
        <v>2509.27</v>
      </c>
    </row>
    <row r="29" spans="1:11" s="6" customFormat="1" x14ac:dyDescent="0.35">
      <c r="A29" s="6" t="s">
        <v>24</v>
      </c>
      <c r="B29">
        <v>307.63</v>
      </c>
      <c r="C29">
        <v>290.08</v>
      </c>
      <c r="D29">
        <v>333.98</v>
      </c>
      <c r="E29">
        <v>330.55</v>
      </c>
      <c r="F29">
        <v>413.8</v>
      </c>
      <c r="G29">
        <v>482.02</v>
      </c>
      <c r="H29">
        <v>535.14</v>
      </c>
      <c r="I29">
        <v>513.5</v>
      </c>
      <c r="J29">
        <v>558.01</v>
      </c>
      <c r="K29">
        <v>646.66</v>
      </c>
    </row>
    <row r="30" spans="1:11" s="6" customFormat="1" x14ac:dyDescent="0.35">
      <c r="A30" s="6" t="s">
        <v>25</v>
      </c>
      <c r="B30">
        <v>791.58</v>
      </c>
      <c r="C30">
        <v>837.5</v>
      </c>
      <c r="D30">
        <v>1073.3499999999999</v>
      </c>
      <c r="E30">
        <v>1184.8399999999999</v>
      </c>
      <c r="F30">
        <v>1216.81</v>
      </c>
      <c r="G30">
        <v>1430.89</v>
      </c>
      <c r="H30">
        <v>1637.92</v>
      </c>
      <c r="I30">
        <v>1554.82</v>
      </c>
      <c r="J30">
        <v>1702.14</v>
      </c>
      <c r="K30">
        <v>1862.6</v>
      </c>
    </row>
    <row r="31" spans="1:11" s="6" customFormat="1" x14ac:dyDescent="0.35">
      <c r="A31" s="6" t="s">
        <v>26</v>
      </c>
      <c r="B31">
        <v>357.71</v>
      </c>
      <c r="C31">
        <v>386.54</v>
      </c>
      <c r="D31">
        <v>502.82</v>
      </c>
      <c r="E31">
        <v>652.89</v>
      </c>
      <c r="F31">
        <v>1215.82</v>
      </c>
      <c r="G31">
        <v>864.02</v>
      </c>
      <c r="H31">
        <v>942.05</v>
      </c>
      <c r="I31">
        <v>1039.56</v>
      </c>
      <c r="J31">
        <v>1083.46</v>
      </c>
      <c r="K31">
        <v>1183.1500000000001</v>
      </c>
    </row>
    <row r="32" spans="1:11" s="6" customFormat="1" x14ac:dyDescent="0.35"/>
    <row r="33" spans="1:11" x14ac:dyDescent="0.35">
      <c r="A33" s="6"/>
    </row>
    <row r="34" spans="1:11" x14ac:dyDescent="0.35">
      <c r="A34" s="6"/>
    </row>
    <row r="35" spans="1:11" x14ac:dyDescent="0.35">
      <c r="A35" s="6"/>
    </row>
    <row r="36" spans="1:11" x14ac:dyDescent="0.35">
      <c r="A36" s="6"/>
    </row>
    <row r="37" spans="1:11" x14ac:dyDescent="0.35">
      <c r="A37" s="6"/>
    </row>
    <row r="38" spans="1:11" x14ac:dyDescent="0.35">
      <c r="A38" s="6"/>
    </row>
    <row r="39" spans="1:11" x14ac:dyDescent="0.35">
      <c r="A39" s="6"/>
    </row>
    <row r="40" spans="1:11" x14ac:dyDescent="0.35">
      <c r="A40" s="1" t="s">
        <v>27</v>
      </c>
    </row>
    <row r="41" spans="1:11" s="5" customFormat="1" x14ac:dyDescent="0.35">
      <c r="A41" s="3" t="s">
        <v>11</v>
      </c>
      <c r="B41" s="4">
        <v>45382</v>
      </c>
      <c r="C41" s="4">
        <v>45473</v>
      </c>
      <c r="D41" s="4">
        <v>45565</v>
      </c>
      <c r="E41" s="4">
        <v>45657</v>
      </c>
      <c r="F41" s="4">
        <v>45747</v>
      </c>
      <c r="G41" s="4">
        <v>45838</v>
      </c>
      <c r="H41" s="4">
        <v>45930</v>
      </c>
      <c r="I41" s="4">
        <v>46022</v>
      </c>
      <c r="J41" s="4">
        <v>46112</v>
      </c>
      <c r="K41" s="4">
        <v>46203</v>
      </c>
    </row>
    <row r="42" spans="1:11" s="6" customFormat="1" x14ac:dyDescent="0.35">
      <c r="A42" s="6" t="s">
        <v>12</v>
      </c>
      <c r="B42">
        <v>3412.05</v>
      </c>
      <c r="C42">
        <v>3422.46</v>
      </c>
      <c r="D42">
        <v>3536.15</v>
      </c>
      <c r="E42">
        <v>3561.34</v>
      </c>
      <c r="F42">
        <v>3710.04</v>
      </c>
      <c r="G42">
        <v>3732.49</v>
      </c>
      <c r="H42">
        <v>3901.91</v>
      </c>
      <c r="I42">
        <v>4002.58</v>
      </c>
      <c r="J42">
        <v>4242.67</v>
      </c>
      <c r="K42">
        <v>4384.05</v>
      </c>
    </row>
    <row r="43" spans="1:11" s="6" customFormat="1" x14ac:dyDescent="0.35">
      <c r="A43" s="6" t="s">
        <v>28</v>
      </c>
      <c r="B43">
        <v>2773.3</v>
      </c>
      <c r="C43">
        <v>2803.92</v>
      </c>
      <c r="D43">
        <v>2888.28</v>
      </c>
      <c r="E43">
        <v>2883.34</v>
      </c>
      <c r="F43">
        <v>3007.48</v>
      </c>
      <c r="G43">
        <v>3029.63</v>
      </c>
      <c r="H43">
        <v>3180.29</v>
      </c>
      <c r="I43">
        <v>3252.4</v>
      </c>
      <c r="J43">
        <v>3439.14</v>
      </c>
      <c r="K43">
        <v>3588.88</v>
      </c>
    </row>
    <row r="44" spans="1:11" s="6" customFormat="1" x14ac:dyDescent="0.35">
      <c r="A44" s="6" t="s">
        <v>20</v>
      </c>
      <c r="B44">
        <v>64.180000000000007</v>
      </c>
      <c r="C44">
        <v>73.55</v>
      </c>
      <c r="D44">
        <v>58.75</v>
      </c>
      <c r="E44">
        <v>62.75</v>
      </c>
      <c r="F44">
        <v>59.96</v>
      </c>
      <c r="G44">
        <v>80.95</v>
      </c>
      <c r="H44">
        <v>74.64</v>
      </c>
      <c r="I44">
        <v>26.9</v>
      </c>
      <c r="J44">
        <v>107.92</v>
      </c>
      <c r="K44">
        <v>83.19</v>
      </c>
    </row>
    <row r="45" spans="1:11" s="6" customFormat="1" x14ac:dyDescent="0.35">
      <c r="A45" s="6" t="s">
        <v>21</v>
      </c>
      <c r="B45">
        <v>130.74</v>
      </c>
      <c r="C45">
        <v>105.01</v>
      </c>
      <c r="D45">
        <v>103.56</v>
      </c>
      <c r="E45">
        <v>132.41999999999999</v>
      </c>
      <c r="F45">
        <v>135.35</v>
      </c>
      <c r="G45">
        <v>131.91999999999999</v>
      </c>
      <c r="H45">
        <v>127.7</v>
      </c>
      <c r="I45">
        <v>142.85</v>
      </c>
      <c r="J45">
        <v>152.80000000000001</v>
      </c>
      <c r="K45">
        <v>147.06</v>
      </c>
    </row>
    <row r="46" spans="1:11" s="6" customFormat="1" x14ac:dyDescent="0.35">
      <c r="A46" s="6" t="s">
        <v>22</v>
      </c>
      <c r="B46">
        <v>49.88</v>
      </c>
      <c r="C46">
        <v>49.76</v>
      </c>
      <c r="D46">
        <v>40.49</v>
      </c>
      <c r="E46">
        <v>39.18</v>
      </c>
      <c r="F46">
        <v>36.07</v>
      </c>
      <c r="G46">
        <v>41.82</v>
      </c>
      <c r="H46">
        <v>43.77</v>
      </c>
      <c r="I46">
        <v>41.13</v>
      </c>
      <c r="J46">
        <v>77.34</v>
      </c>
      <c r="K46">
        <v>48.52</v>
      </c>
    </row>
    <row r="47" spans="1:11" s="6" customFormat="1" x14ac:dyDescent="0.35">
      <c r="A47" s="6" t="s">
        <v>23</v>
      </c>
      <c r="B47">
        <v>522.30999999999995</v>
      </c>
      <c r="C47">
        <v>537.32000000000005</v>
      </c>
      <c r="D47">
        <v>562.57000000000005</v>
      </c>
      <c r="E47">
        <v>569.15</v>
      </c>
      <c r="F47">
        <v>591.1</v>
      </c>
      <c r="G47">
        <v>610.07000000000005</v>
      </c>
      <c r="H47">
        <v>624.79</v>
      </c>
      <c r="I47">
        <v>593.1</v>
      </c>
      <c r="J47">
        <v>681.31</v>
      </c>
      <c r="K47">
        <v>682.78</v>
      </c>
    </row>
    <row r="48" spans="1:11" s="6" customFormat="1" x14ac:dyDescent="0.35">
      <c r="A48" s="6" t="s">
        <v>24</v>
      </c>
      <c r="B48">
        <v>129.09</v>
      </c>
      <c r="C48">
        <v>132.81</v>
      </c>
      <c r="D48">
        <v>139.24</v>
      </c>
      <c r="E48">
        <v>141.34</v>
      </c>
      <c r="F48">
        <v>144.61000000000001</v>
      </c>
      <c r="G48">
        <v>168.37</v>
      </c>
      <c r="H48">
        <v>155.69999999999999</v>
      </c>
      <c r="I48">
        <v>150.91</v>
      </c>
      <c r="J48">
        <v>171.68</v>
      </c>
      <c r="K48">
        <v>193.28</v>
      </c>
    </row>
    <row r="49" spans="1:11" s="6" customFormat="1" x14ac:dyDescent="0.35">
      <c r="A49" s="6" t="s">
        <v>25</v>
      </c>
      <c r="B49">
        <v>393.22</v>
      </c>
      <c r="C49">
        <v>404.51</v>
      </c>
      <c r="D49">
        <v>423.33</v>
      </c>
      <c r="E49">
        <v>427.81</v>
      </c>
      <c r="F49">
        <v>446.49</v>
      </c>
      <c r="G49">
        <v>441.7</v>
      </c>
      <c r="H49">
        <v>469.07</v>
      </c>
      <c r="I49">
        <v>442.19</v>
      </c>
      <c r="J49">
        <v>509.64</v>
      </c>
      <c r="K49">
        <v>489.51</v>
      </c>
    </row>
    <row r="50" spans="1:11" x14ac:dyDescent="0.35">
      <c r="A50" s="6" t="s">
        <v>29</v>
      </c>
      <c r="B50">
        <v>638.75</v>
      </c>
      <c r="C50">
        <v>618.54</v>
      </c>
      <c r="D50">
        <v>647.87</v>
      </c>
      <c r="E50">
        <v>678</v>
      </c>
      <c r="F50">
        <v>702.56</v>
      </c>
      <c r="G50">
        <v>702.86</v>
      </c>
      <c r="H50">
        <v>721.62</v>
      </c>
      <c r="I50">
        <v>750.18</v>
      </c>
      <c r="J50">
        <v>803.53</v>
      </c>
      <c r="K50">
        <v>795.17</v>
      </c>
    </row>
    <row r="51" spans="1:11" x14ac:dyDescent="0.35">
      <c r="A51" s="1" t="s">
        <v>30</v>
      </c>
      <c r="B51" s="7">
        <v>16892.02</v>
      </c>
      <c r="C51" s="7">
        <v>20164.599999999999</v>
      </c>
      <c r="D51" s="7">
        <v>19850</v>
      </c>
      <c r="E51" s="7">
        <v>20404</v>
      </c>
      <c r="F51" s="7">
        <v>22268</v>
      </c>
      <c r="G51" s="7">
        <v>23828</v>
      </c>
      <c r="H51" s="7">
        <v>22359</v>
      </c>
      <c r="I51" s="7">
        <v>18164</v>
      </c>
      <c r="J51" s="7">
        <v>17822</v>
      </c>
      <c r="K51" s="7">
        <v>22113</v>
      </c>
    </row>
    <row r="52" spans="1:11" x14ac:dyDescent="0.35">
      <c r="A52" s="6"/>
    </row>
    <row r="53" spans="1:11" x14ac:dyDescent="0.35">
      <c r="A53" s="6"/>
    </row>
    <row r="54" spans="1:11" x14ac:dyDescent="0.35">
      <c r="A54" s="6"/>
    </row>
    <row r="55" spans="1:11" x14ac:dyDescent="0.35">
      <c r="A55" s="1" t="s">
        <v>31</v>
      </c>
    </row>
    <row r="56" spans="1:11" s="5" customFormat="1" x14ac:dyDescent="0.35">
      <c r="A56" s="3" t="s">
        <v>11</v>
      </c>
      <c r="B56" s="4">
        <v>42825</v>
      </c>
      <c r="C56" s="4">
        <v>43190</v>
      </c>
      <c r="D56" s="4">
        <v>43555</v>
      </c>
      <c r="E56" s="4">
        <v>43921</v>
      </c>
      <c r="F56" s="4">
        <v>44286</v>
      </c>
      <c r="G56" s="4">
        <v>44651</v>
      </c>
      <c r="H56" s="4">
        <v>45016</v>
      </c>
      <c r="I56" s="4">
        <v>45382</v>
      </c>
      <c r="J56" s="4">
        <v>45747</v>
      </c>
      <c r="K56" s="4">
        <v>46112</v>
      </c>
    </row>
    <row r="57" spans="1:11" x14ac:dyDescent="0.35">
      <c r="A57" s="6" t="s">
        <v>32</v>
      </c>
      <c r="B57">
        <v>210.42</v>
      </c>
      <c r="C57">
        <v>193.27</v>
      </c>
      <c r="D57">
        <v>186.23</v>
      </c>
      <c r="E57">
        <v>186.54</v>
      </c>
      <c r="F57">
        <v>187.05</v>
      </c>
      <c r="G57">
        <v>187.83</v>
      </c>
      <c r="H57">
        <v>188.41</v>
      </c>
      <c r="I57">
        <v>189.01</v>
      </c>
      <c r="J57">
        <v>190.08</v>
      </c>
      <c r="K57">
        <v>190.83</v>
      </c>
    </row>
    <row r="58" spans="1:11" x14ac:dyDescent="0.35">
      <c r="A58" s="6" t="s">
        <v>33</v>
      </c>
      <c r="B58">
        <v>5941.98</v>
      </c>
      <c r="C58">
        <v>5288.52</v>
      </c>
      <c r="D58">
        <v>5063.59</v>
      </c>
      <c r="E58">
        <v>5643.06</v>
      </c>
      <c r="F58">
        <v>6339.66</v>
      </c>
      <c r="G58">
        <v>6755.31</v>
      </c>
      <c r="H58">
        <v>7746.43</v>
      </c>
      <c r="I58">
        <v>8605.6</v>
      </c>
      <c r="J58">
        <v>9438.31</v>
      </c>
      <c r="K58">
        <v>10552.89</v>
      </c>
    </row>
    <row r="59" spans="1:11" x14ac:dyDescent="0.35">
      <c r="A59" s="6" t="s">
        <v>34</v>
      </c>
      <c r="B59">
        <v>260.16000000000003</v>
      </c>
      <c r="C59">
        <v>389.88</v>
      </c>
      <c r="D59">
        <v>542.59</v>
      </c>
      <c r="E59">
        <v>571.28</v>
      </c>
      <c r="F59">
        <v>513.45000000000005</v>
      </c>
      <c r="G59">
        <v>527.24</v>
      </c>
      <c r="H59">
        <v>198.48</v>
      </c>
      <c r="I59">
        <v>1543.57</v>
      </c>
      <c r="J59">
        <v>1888.22</v>
      </c>
      <c r="K59">
        <v>2619.6799999999998</v>
      </c>
    </row>
    <row r="60" spans="1:11" x14ac:dyDescent="0.35">
      <c r="A60" s="6" t="s">
        <v>35</v>
      </c>
      <c r="B60">
        <v>888.69</v>
      </c>
      <c r="C60">
        <v>1108.7</v>
      </c>
      <c r="D60">
        <v>1575.86</v>
      </c>
      <c r="E60">
        <v>2338.89</v>
      </c>
      <c r="F60">
        <v>2324.5</v>
      </c>
      <c r="G60">
        <v>3213.94</v>
      </c>
      <c r="H60">
        <v>3373.18</v>
      </c>
      <c r="I60">
        <v>3662.15</v>
      </c>
      <c r="J60">
        <v>3227.72</v>
      </c>
      <c r="K60">
        <v>4245.58</v>
      </c>
    </row>
    <row r="61" spans="1:11" s="1" customFormat="1" x14ac:dyDescent="0.35">
      <c r="A61" s="1" t="s">
        <v>36</v>
      </c>
      <c r="B61">
        <v>7301.25</v>
      </c>
      <c r="C61">
        <v>6980.37</v>
      </c>
      <c r="D61">
        <v>7368.27</v>
      </c>
      <c r="E61">
        <v>8739.77</v>
      </c>
      <c r="F61">
        <v>9364.66</v>
      </c>
      <c r="G61">
        <v>10684.32</v>
      </c>
      <c r="H61">
        <v>11506.5</v>
      </c>
      <c r="I61">
        <v>14000.33</v>
      </c>
      <c r="J61">
        <v>14744.33</v>
      </c>
      <c r="K61">
        <v>17608.98</v>
      </c>
    </row>
    <row r="62" spans="1:11" x14ac:dyDescent="0.35">
      <c r="A62" s="6" t="s">
        <v>37</v>
      </c>
      <c r="B62">
        <v>1921.14</v>
      </c>
      <c r="C62">
        <v>1884.03</v>
      </c>
      <c r="D62">
        <v>2169.73</v>
      </c>
      <c r="E62">
        <v>3013.49</v>
      </c>
      <c r="F62">
        <v>3019.51</v>
      </c>
      <c r="G62">
        <v>3773.63</v>
      </c>
      <c r="H62">
        <v>4059.8</v>
      </c>
      <c r="I62">
        <v>5532.63</v>
      </c>
      <c r="J62">
        <v>5781.48</v>
      </c>
      <c r="K62">
        <v>6435.46</v>
      </c>
    </row>
    <row r="63" spans="1:11" x14ac:dyDescent="0.35">
      <c r="A63" s="6" t="s">
        <v>38</v>
      </c>
      <c r="B63">
        <v>1.08</v>
      </c>
      <c r="C63">
        <v>2.2599999999999998</v>
      </c>
      <c r="D63">
        <v>2.92</v>
      </c>
      <c r="E63">
        <v>16.7</v>
      </c>
      <c r="F63">
        <v>3.13</v>
      </c>
      <c r="G63">
        <v>10.98</v>
      </c>
      <c r="H63">
        <v>32.380000000000003</v>
      </c>
      <c r="I63">
        <v>61.44</v>
      </c>
      <c r="J63">
        <v>0.18</v>
      </c>
      <c r="K63">
        <v>0.06</v>
      </c>
    </row>
    <row r="64" spans="1:11" x14ac:dyDescent="0.35">
      <c r="A64" s="6" t="s">
        <v>39</v>
      </c>
      <c r="B64">
        <v>2395.65</v>
      </c>
      <c r="C64">
        <v>1782.07</v>
      </c>
      <c r="D64">
        <v>1329.22</v>
      </c>
      <c r="E64">
        <v>1325.65</v>
      </c>
      <c r="F64">
        <v>1846.02</v>
      </c>
      <c r="G64">
        <v>1813.01</v>
      </c>
      <c r="H64">
        <v>1752.64</v>
      </c>
      <c r="I64">
        <v>3089.91</v>
      </c>
      <c r="J64">
        <v>2208.1999999999998</v>
      </c>
      <c r="K64">
        <v>1769.07</v>
      </c>
    </row>
    <row r="65" spans="1:11" x14ac:dyDescent="0.35">
      <c r="A65" s="6" t="s">
        <v>40</v>
      </c>
      <c r="B65">
        <v>2983.38</v>
      </c>
      <c r="C65">
        <v>3312.01</v>
      </c>
      <c r="D65">
        <v>3866.4</v>
      </c>
      <c r="E65">
        <v>4383.93</v>
      </c>
      <c r="F65">
        <v>4496</v>
      </c>
      <c r="G65">
        <v>5086.7</v>
      </c>
      <c r="H65">
        <v>5661.68</v>
      </c>
      <c r="I65">
        <v>5316.35</v>
      </c>
      <c r="J65">
        <v>6754.47</v>
      </c>
      <c r="K65">
        <v>9404.39</v>
      </c>
    </row>
    <row r="66" spans="1:11" s="1" customFormat="1" x14ac:dyDescent="0.35">
      <c r="A66" s="1" t="s">
        <v>36</v>
      </c>
      <c r="B66">
        <v>7301.25</v>
      </c>
      <c r="C66">
        <v>6980.37</v>
      </c>
      <c r="D66">
        <v>7368.27</v>
      </c>
      <c r="E66">
        <v>8739.77</v>
      </c>
      <c r="F66">
        <v>9364.66</v>
      </c>
      <c r="G66">
        <v>10684.32</v>
      </c>
      <c r="H66">
        <v>11506.5</v>
      </c>
      <c r="I66">
        <v>14000.33</v>
      </c>
      <c r="J66">
        <v>14744.33</v>
      </c>
      <c r="K66">
        <v>17608.98</v>
      </c>
    </row>
    <row r="67" spans="1:11" s="6" customFormat="1" x14ac:dyDescent="0.35">
      <c r="A67" s="6" t="s">
        <v>41</v>
      </c>
      <c r="B67">
        <v>627.87</v>
      </c>
      <c r="C67">
        <v>811.63</v>
      </c>
      <c r="D67">
        <v>955.37</v>
      </c>
      <c r="E67">
        <v>835.25</v>
      </c>
      <c r="F67">
        <v>929.48</v>
      </c>
      <c r="G67">
        <v>2226.94</v>
      </c>
      <c r="H67">
        <v>2520.63</v>
      </c>
      <c r="I67">
        <v>2425.56</v>
      </c>
      <c r="J67">
        <v>2840.73</v>
      </c>
      <c r="K67">
        <v>4192.72</v>
      </c>
    </row>
    <row r="68" spans="1:11" x14ac:dyDescent="0.35">
      <c r="A68" s="6" t="s">
        <v>42</v>
      </c>
      <c r="B68"/>
      <c r="C68"/>
      <c r="D68"/>
      <c r="E68"/>
      <c r="F68"/>
      <c r="G68"/>
      <c r="H68"/>
      <c r="I68"/>
      <c r="J68"/>
      <c r="K68"/>
    </row>
    <row r="69" spans="1:11" x14ac:dyDescent="0.35">
      <c r="A69" s="2" t="s">
        <v>43</v>
      </c>
      <c r="B69">
        <v>614.41</v>
      </c>
      <c r="C69">
        <v>706.72</v>
      </c>
      <c r="D69">
        <v>641.61</v>
      </c>
      <c r="E69">
        <v>1125.7</v>
      </c>
      <c r="F69">
        <v>1062.24</v>
      </c>
      <c r="G69">
        <v>949.44</v>
      </c>
      <c r="H69">
        <v>1053.44</v>
      </c>
      <c r="I69">
        <v>814.37</v>
      </c>
      <c r="J69">
        <v>1612.58</v>
      </c>
      <c r="K69">
        <v>1752.71</v>
      </c>
    </row>
    <row r="70" spans="1:11" x14ac:dyDescent="0.35">
      <c r="A70" s="2" t="s">
        <v>44</v>
      </c>
      <c r="B70">
        <v>210424080</v>
      </c>
      <c r="C70">
        <v>193267182</v>
      </c>
      <c r="D70">
        <v>186226039</v>
      </c>
      <c r="E70">
        <v>186605807</v>
      </c>
      <c r="F70">
        <v>187112033</v>
      </c>
      <c r="G70">
        <v>187817716</v>
      </c>
      <c r="H70">
        <v>188400043</v>
      </c>
      <c r="I70">
        <v>188997999</v>
      </c>
      <c r="J70">
        <v>190076841</v>
      </c>
      <c r="K70">
        <v>190819570</v>
      </c>
    </row>
    <row r="71" spans="1:11" x14ac:dyDescent="0.35">
      <c r="A71" s="2" t="s">
        <v>45</v>
      </c>
      <c r="D71">
        <v>700</v>
      </c>
      <c r="E71">
        <v>700</v>
      </c>
      <c r="F71">
        <v>700</v>
      </c>
    </row>
    <row r="72" spans="1:11" x14ac:dyDescent="0.35">
      <c r="A72" s="2" t="s">
        <v>46</v>
      </c>
      <c r="B72">
        <v>10</v>
      </c>
      <c r="C72">
        <v>10</v>
      </c>
      <c r="D72">
        <v>10</v>
      </c>
      <c r="E72">
        <v>10</v>
      </c>
      <c r="F72">
        <v>10</v>
      </c>
      <c r="G72">
        <v>10</v>
      </c>
      <c r="H72">
        <v>10</v>
      </c>
      <c r="I72">
        <v>10</v>
      </c>
      <c r="J72">
        <v>10</v>
      </c>
      <c r="K72">
        <v>10</v>
      </c>
    </row>
    <row r="74" spans="1:11" x14ac:dyDescent="0.35">
      <c r="A74" s="6"/>
    </row>
    <row r="75" spans="1:11" x14ac:dyDescent="0.35">
      <c r="A75" s="6"/>
    </row>
    <row r="76" spans="1:11" x14ac:dyDescent="0.35">
      <c r="A76" s="6"/>
    </row>
    <row r="77" spans="1:11" x14ac:dyDescent="0.35">
      <c r="A77" s="6"/>
    </row>
    <row r="78" spans="1:11" x14ac:dyDescent="0.35">
      <c r="A78" s="6"/>
    </row>
    <row r="79" spans="1:11" x14ac:dyDescent="0.35">
      <c r="A79" s="6"/>
    </row>
    <row r="80" spans="1:11" x14ac:dyDescent="0.35">
      <c r="A80" s="1" t="s">
        <v>47</v>
      </c>
    </row>
    <row r="81" spans="1:11" s="5" customFormat="1" x14ac:dyDescent="0.35">
      <c r="A81" s="3" t="s">
        <v>11</v>
      </c>
      <c r="B81" s="4">
        <v>42825</v>
      </c>
      <c r="C81" s="4">
        <v>43190</v>
      </c>
      <c r="D81" s="4">
        <v>43555</v>
      </c>
      <c r="E81" s="4">
        <v>43921</v>
      </c>
      <c r="F81" s="4">
        <v>44286</v>
      </c>
      <c r="G81" s="4">
        <v>44651</v>
      </c>
      <c r="H81" s="4">
        <v>45016</v>
      </c>
      <c r="I81" s="4">
        <v>45382</v>
      </c>
      <c r="J81" s="4">
        <v>45747</v>
      </c>
      <c r="K81" s="4">
        <v>46112</v>
      </c>
    </row>
    <row r="82" spans="1:11" s="1" customFormat="1" x14ac:dyDescent="0.35">
      <c r="A82" s="6" t="s">
        <v>48</v>
      </c>
      <c r="B82">
        <v>664.11</v>
      </c>
      <c r="C82">
        <v>723.32</v>
      </c>
      <c r="D82">
        <v>949.72</v>
      </c>
      <c r="E82">
        <v>1321.02</v>
      </c>
      <c r="F82">
        <v>1454.53</v>
      </c>
      <c r="G82">
        <v>1715.73</v>
      </c>
      <c r="H82">
        <v>1461.77</v>
      </c>
      <c r="I82">
        <v>2179.6999999999998</v>
      </c>
      <c r="J82">
        <v>1905.2</v>
      </c>
      <c r="K82">
        <v>1253.28</v>
      </c>
    </row>
    <row r="83" spans="1:11" s="6" customFormat="1" x14ac:dyDescent="0.35">
      <c r="A83" s="6" t="s">
        <v>49</v>
      </c>
      <c r="B83">
        <v>266.58</v>
      </c>
      <c r="C83">
        <v>507.34</v>
      </c>
      <c r="D83">
        <v>279.85000000000002</v>
      </c>
      <c r="E83">
        <v>141.69</v>
      </c>
      <c r="F83">
        <v>-809.92</v>
      </c>
      <c r="G83">
        <v>-271.35000000000002</v>
      </c>
      <c r="H83">
        <v>195.68</v>
      </c>
      <c r="I83">
        <v>-2495.9699999999998</v>
      </c>
      <c r="J83">
        <v>31.94</v>
      </c>
      <c r="K83">
        <v>-173.46</v>
      </c>
    </row>
    <row r="84" spans="1:11" s="6" customFormat="1" x14ac:dyDescent="0.35">
      <c r="A84" s="6" t="s">
        <v>50</v>
      </c>
      <c r="B84">
        <v>-710.02</v>
      </c>
      <c r="C84">
        <v>-1379.74</v>
      </c>
      <c r="D84">
        <v>-1341.77</v>
      </c>
      <c r="E84">
        <v>-824.72</v>
      </c>
      <c r="F84">
        <v>-861.47</v>
      </c>
      <c r="G84">
        <v>-1388.68</v>
      </c>
      <c r="H84">
        <v>-1440.18</v>
      </c>
      <c r="I84">
        <v>77.08</v>
      </c>
      <c r="J84">
        <v>-1755.71</v>
      </c>
      <c r="K84">
        <v>-943.25</v>
      </c>
    </row>
    <row r="85" spans="1:11" s="1" customFormat="1" x14ac:dyDescent="0.35">
      <c r="A85" s="6" t="s">
        <v>51</v>
      </c>
      <c r="B85">
        <v>220.66</v>
      </c>
      <c r="C85">
        <v>-149.09</v>
      </c>
      <c r="D85">
        <v>-112.2</v>
      </c>
      <c r="E85">
        <v>638</v>
      </c>
      <c r="F85">
        <v>-216.86</v>
      </c>
      <c r="G85">
        <v>55.7</v>
      </c>
      <c r="H85">
        <v>217.27</v>
      </c>
      <c r="I85">
        <v>-239.2</v>
      </c>
      <c r="J85">
        <v>181.43</v>
      </c>
      <c r="K85">
        <v>136.58000000000001</v>
      </c>
    </row>
    <row r="86" spans="1:11" x14ac:dyDescent="0.35">
      <c r="A86" s="6"/>
    </row>
    <row r="87" spans="1:11" x14ac:dyDescent="0.35">
      <c r="A87" s="6"/>
    </row>
    <row r="88" spans="1:11" x14ac:dyDescent="0.35">
      <c r="A88" s="6"/>
    </row>
    <row r="89" spans="1:11" x14ac:dyDescent="0.35">
      <c r="A89" s="6"/>
    </row>
    <row r="90" spans="1:11" s="1" customFormat="1" x14ac:dyDescent="0.35">
      <c r="A90" s="1" t="s">
        <v>52</v>
      </c>
      <c r="B90">
        <v>579.9</v>
      </c>
      <c r="C90">
        <v>837.75</v>
      </c>
      <c r="D90">
        <v>991.1</v>
      </c>
      <c r="E90">
        <v>664.45</v>
      </c>
      <c r="F90">
        <v>1776.5</v>
      </c>
      <c r="G90">
        <v>3376.85</v>
      </c>
      <c r="H90">
        <v>1795.75</v>
      </c>
      <c r="I90">
        <v>2388.0500000000002</v>
      </c>
      <c r="J90">
        <v>2500.1999999999998</v>
      </c>
      <c r="K90">
        <v>2053</v>
      </c>
    </row>
    <row r="92" spans="1:11" s="1" customFormat="1" x14ac:dyDescent="0.35">
      <c r="A92" s="1" t="s">
        <v>53</v>
      </c>
    </row>
    <row r="93" spans="1:11" x14ac:dyDescent="0.35">
      <c r="A93" s="2" t="s">
        <v>54</v>
      </c>
      <c r="B93" s="8">
        <v>21.04</v>
      </c>
      <c r="C93" s="8">
        <v>19.329999999999998</v>
      </c>
      <c r="D93" s="8">
        <v>18.62</v>
      </c>
      <c r="E93" s="8">
        <v>18.649999999999999</v>
      </c>
      <c r="F93" s="8">
        <v>18.7</v>
      </c>
      <c r="G93" s="8">
        <v>18.78</v>
      </c>
      <c r="H93" s="8">
        <v>18.84</v>
      </c>
      <c r="I93" s="8">
        <v>18.899999999999999</v>
      </c>
      <c r="J93" s="8">
        <v>19.010000000000002</v>
      </c>
      <c r="K93" s="8">
        <v>19.079999999999998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C0C48542-1E97-4DDC-85EC-AD382DF5DA9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Talib Shaikh</dc:creator>
  <cp:lastModifiedBy>Talib Shaikh</cp:lastModifiedBy>
  <dcterms:created xsi:type="dcterms:W3CDTF">2026-07-31T15:59:26Z</dcterms:created>
  <dcterms:modified xsi:type="dcterms:W3CDTF">2026-09-08T11:52:54Z</dcterms:modified>
</cp:coreProperties>
</file>