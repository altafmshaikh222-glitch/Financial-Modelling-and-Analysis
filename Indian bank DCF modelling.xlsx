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ad465b0b741610/Desktop/Altaf Folder/All about Finance and Learning/Financial Modelling ^0 Analysis/"/>
    </mc:Choice>
  </mc:AlternateContent>
  <xr:revisionPtr revIDLastSave="2" documentId="8_{48982F84-4032-4958-BF10-E6EA48B5C180}" xr6:coauthVersionLast="47" xr6:coauthVersionMax="47" xr10:uidLastSave="{8814A67B-AFD6-4C58-840E-B1FFDBA652DF}"/>
  <bookViews>
    <workbookView xWindow="-108" yWindow="-108" windowWidth="23256" windowHeight="12576" activeTab="1" xr2:uid="{75669812-338D-438A-BA0B-236387B9F819}"/>
  </bookViews>
  <sheets>
    <sheet name="DCF Model" sheetId="1" r:id="rId1"/>
    <sheet name="Comps" sheetId="4" r:id="rId2"/>
    <sheet name="Data Sheet" sheetId="3" r:id="rId3"/>
  </sheets>
  <externalReferences>
    <externalReference r:id="rId4"/>
    <externalReference r:id="rId5"/>
  </externalReferences>
  <definedNames>
    <definedName name="Beta">'[1]Simplification&gt;'!$C$5</definedName>
    <definedName name="Cost_Of_debt">'[1]Simplify using Name'!$C$9</definedName>
    <definedName name="Cost_Of_equity">'[1]Simplify using Name'!$C$7</definedName>
    <definedName name="CostofDebt">'[1]Simplification&gt;'!$C$6</definedName>
    <definedName name="Current_Sales">'[1]Simplify using Name'!$G$8</definedName>
    <definedName name="Debt_Funding">'[1]Simplify using Name'!$C$16</definedName>
    <definedName name="Debt_Value">'[1]Simplify using Name'!$C$14</definedName>
    <definedName name="DebtValue">'[1]Simplification&gt;'!$C$9</definedName>
    <definedName name="Equity_Funding">'[1]Simplify using Name'!$C$15</definedName>
    <definedName name="Equity_Value">'[1]Simplify using Name'!$C$13</definedName>
    <definedName name="EquityValue">'[1]Simplification&gt;'!$C$8</definedName>
    <definedName name="Gross_Margin">'[1]Simplify using Name'!$G$10</definedName>
    <definedName name="MarketReturn">'[1]Simplification&gt;'!$C$4</definedName>
    <definedName name="Post_Tax_Cost_of_Debt">'[1]Simplify using Name'!$C$11</definedName>
    <definedName name="Riskfreerate">'[1]Simplification&gt;'!$C$3</definedName>
    <definedName name="Sales_Growth">'[1]Simplify using Name'!$G$9</definedName>
    <definedName name="Taper_rate">'DCF Model'!$C$21</definedName>
    <definedName name="Tax_rate">'DCF Model'!$C$27</definedName>
    <definedName name="TAXRate">'[1]Simplification&gt;'!$C$7</definedName>
    <definedName name="UPDATE" localSheetId="2">'Data Sheet'!$E$1</definedName>
    <definedName name="UPDATE">'[2]Data Sheet'!$E$1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4" i="1" l="1" a="1"/>
  <c r="C74" i="1" s="1"/>
  <c r="C161" i="1"/>
  <c r="D161" i="1"/>
  <c r="G161" i="1" l="1"/>
  <c r="H161" i="1" s="1"/>
  <c r="E161" i="1" s="1"/>
  <c r="B165" i="1"/>
  <c r="B166" i="1" s="1"/>
  <c r="B163" i="1"/>
  <c r="B162" i="1" s="1"/>
  <c r="C154" i="1"/>
  <c r="C152" i="1"/>
  <c r="C151" i="1"/>
  <c r="C122" i="1"/>
  <c r="C112" i="1"/>
  <c r="C111" i="1"/>
  <c r="C104" i="1"/>
  <c r="C103" i="1"/>
  <c r="H17" i="4"/>
  <c r="H16" i="4"/>
  <c r="H18" i="4" s="1"/>
  <c r="H15" i="4"/>
  <c r="H14" i="4"/>
  <c r="H19" i="4" s="1"/>
  <c r="G17" i="4"/>
  <c r="G16" i="4"/>
  <c r="G19" i="4" s="1"/>
  <c r="G15" i="4"/>
  <c r="G14" i="4"/>
  <c r="F16" i="4"/>
  <c r="D17" i="4"/>
  <c r="D14" i="4"/>
  <c r="F14" i="4" s="1"/>
  <c r="D15" i="4"/>
  <c r="F15" i="4" s="1"/>
  <c r="D16" i="4"/>
  <c r="E16" i="4" s="1"/>
  <c r="C16" i="4"/>
  <c r="C17" i="4"/>
  <c r="C14" i="4"/>
  <c r="C15" i="4"/>
  <c r="E15" i="4" s="1"/>
  <c r="C108" i="1" a="1"/>
  <c r="C108" i="1" s="1"/>
  <c r="C109" i="1" s="1"/>
  <c r="D76" i="1"/>
  <c r="D77" i="1"/>
  <c r="E77" i="1" s="1"/>
  <c r="F77" i="1" s="1"/>
  <c r="G77" i="1" s="1"/>
  <c r="H77" i="1" s="1"/>
  <c r="I77" i="1" s="1"/>
  <c r="J77" i="1" s="1"/>
  <c r="K77" i="1" s="1"/>
  <c r="L77" i="1" s="1"/>
  <c r="C78" i="1"/>
  <c r="D78" i="1" s="1"/>
  <c r="E78" i="1" s="1"/>
  <c r="F78" i="1" s="1"/>
  <c r="G78" i="1" s="1"/>
  <c r="H78" i="1" s="1"/>
  <c r="I78" i="1" s="1"/>
  <c r="J78" i="1" s="1"/>
  <c r="K78" i="1" s="1"/>
  <c r="L78" i="1" s="1"/>
  <c r="C77" i="1"/>
  <c r="C79" i="1" s="1"/>
  <c r="D79" i="1" s="1"/>
  <c r="E79" i="1" s="1"/>
  <c r="F79" i="1" s="1"/>
  <c r="G79" i="1" s="1"/>
  <c r="H79" i="1" s="1"/>
  <c r="I79" i="1" s="1"/>
  <c r="J79" i="1" s="1"/>
  <c r="K79" i="1" s="1"/>
  <c r="L79" i="1" s="1"/>
  <c r="L66" i="1"/>
  <c r="K66" i="1"/>
  <c r="J66" i="1"/>
  <c r="I66" i="1"/>
  <c r="H66" i="1"/>
  <c r="G66" i="1"/>
  <c r="F66" i="1"/>
  <c r="E66" i="1"/>
  <c r="D66" i="1"/>
  <c r="L65" i="1"/>
  <c r="K65" i="1"/>
  <c r="J65" i="1"/>
  <c r="I65" i="1"/>
  <c r="H65" i="1"/>
  <c r="G65" i="1"/>
  <c r="F65" i="1"/>
  <c r="E65" i="1"/>
  <c r="D65" i="1"/>
  <c r="L62" i="1"/>
  <c r="K62" i="1"/>
  <c r="J62" i="1"/>
  <c r="I62" i="1"/>
  <c r="H62" i="1"/>
  <c r="G62" i="1"/>
  <c r="F62" i="1"/>
  <c r="E62" i="1"/>
  <c r="D62" i="1"/>
  <c r="L61" i="1"/>
  <c r="K61" i="1"/>
  <c r="J61" i="1"/>
  <c r="I61" i="1"/>
  <c r="H61" i="1"/>
  <c r="G61" i="1"/>
  <c r="F61" i="1"/>
  <c r="E61" i="1"/>
  <c r="D61" i="1"/>
  <c r="L60" i="1"/>
  <c r="K60" i="1"/>
  <c r="K63" i="1" s="1"/>
  <c r="J60" i="1"/>
  <c r="I60" i="1"/>
  <c r="H60" i="1"/>
  <c r="G60" i="1"/>
  <c r="F60" i="1"/>
  <c r="E60" i="1"/>
  <c r="D60" i="1"/>
  <c r="L59" i="1"/>
  <c r="K59" i="1"/>
  <c r="J59" i="1"/>
  <c r="I59" i="1"/>
  <c r="H59" i="1"/>
  <c r="H63" i="1" s="1"/>
  <c r="G59" i="1"/>
  <c r="F59" i="1"/>
  <c r="E59" i="1"/>
  <c r="D59" i="1"/>
  <c r="D63" i="1" s="1"/>
  <c r="C59" i="1"/>
  <c r="L63" i="1"/>
  <c r="H64" i="1"/>
  <c r="I64" i="1"/>
  <c r="J64" i="1"/>
  <c r="K64" i="1"/>
  <c r="L64" i="1"/>
  <c r="C66" i="1"/>
  <c r="C65" i="1"/>
  <c r="G64" i="1"/>
  <c r="F64" i="1"/>
  <c r="E64" i="1"/>
  <c r="D64" i="1"/>
  <c r="C64" i="1"/>
  <c r="C62" i="1"/>
  <c r="C61" i="1"/>
  <c r="C60" i="1"/>
  <c r="C63" i="1" s="1"/>
  <c r="G63" i="1"/>
  <c r="L51" i="1"/>
  <c r="K51" i="1"/>
  <c r="J51" i="1"/>
  <c r="I51" i="1"/>
  <c r="H51" i="1"/>
  <c r="G51" i="1"/>
  <c r="F51" i="1"/>
  <c r="E51" i="1"/>
  <c r="D51" i="1"/>
  <c r="C51" i="1"/>
  <c r="E48" i="1"/>
  <c r="C47" i="1"/>
  <c r="C48" i="1" s="1"/>
  <c r="D47" i="1"/>
  <c r="D48" i="1" s="1"/>
  <c r="E47" i="1"/>
  <c r="F47" i="1"/>
  <c r="F48" i="1" s="1"/>
  <c r="G47" i="1"/>
  <c r="G48" i="1" s="1"/>
  <c r="H47" i="1"/>
  <c r="H48" i="1" s="1"/>
  <c r="I47" i="1"/>
  <c r="I48" i="1" s="1"/>
  <c r="J47" i="1"/>
  <c r="J48" i="1" s="1"/>
  <c r="K47" i="1"/>
  <c r="K48" i="1" s="1"/>
  <c r="L47" i="1"/>
  <c r="L48" i="1" s="1"/>
  <c r="C46" i="1"/>
  <c r="D46" i="1"/>
  <c r="E46" i="1"/>
  <c r="F46" i="1"/>
  <c r="G46" i="1"/>
  <c r="H46" i="1"/>
  <c r="I46" i="1"/>
  <c r="J46" i="1"/>
  <c r="K46" i="1"/>
  <c r="L46" i="1"/>
  <c r="L42" i="1"/>
  <c r="K42" i="1"/>
  <c r="K43" i="1" s="1"/>
  <c r="J42" i="1"/>
  <c r="I42" i="1"/>
  <c r="I43" i="1" s="1"/>
  <c r="H42" i="1"/>
  <c r="G42" i="1"/>
  <c r="G43" i="1" s="1"/>
  <c r="F42" i="1"/>
  <c r="E42" i="1"/>
  <c r="E43" i="1" s="1"/>
  <c r="D42" i="1"/>
  <c r="C42" i="1"/>
  <c r="C39" i="1"/>
  <c r="L38" i="1"/>
  <c r="K38" i="1"/>
  <c r="K39" i="1" s="1"/>
  <c r="J38" i="1"/>
  <c r="I38" i="1"/>
  <c r="I39" i="1" s="1"/>
  <c r="H38" i="1"/>
  <c r="G38" i="1"/>
  <c r="F38" i="1"/>
  <c r="E38" i="1"/>
  <c r="E39" i="1" s="1"/>
  <c r="D38" i="1"/>
  <c r="C38" i="1"/>
  <c r="G36" i="1"/>
  <c r="G37" i="1" s="1"/>
  <c r="L34" i="1"/>
  <c r="K34" i="1"/>
  <c r="J34" i="1"/>
  <c r="I34" i="1"/>
  <c r="H34" i="1"/>
  <c r="G34" i="1"/>
  <c r="F34" i="1"/>
  <c r="E34" i="1"/>
  <c r="D34" i="1"/>
  <c r="C34" i="1"/>
  <c r="L32" i="1"/>
  <c r="L39" i="1" s="1"/>
  <c r="K32" i="1"/>
  <c r="K36" i="1" s="1"/>
  <c r="K40" i="1" s="1"/>
  <c r="J32" i="1"/>
  <c r="J36" i="1" s="1"/>
  <c r="I32" i="1"/>
  <c r="I36" i="1" s="1"/>
  <c r="H32" i="1"/>
  <c r="G32" i="1"/>
  <c r="G33" i="1" s="1"/>
  <c r="F32" i="1"/>
  <c r="F36" i="1" s="1"/>
  <c r="E32" i="1"/>
  <c r="E36" i="1" s="1"/>
  <c r="D32" i="1"/>
  <c r="D39" i="1" s="1"/>
  <c r="C32" i="1"/>
  <c r="C36" i="1" s="1"/>
  <c r="C40" i="1" s="1"/>
  <c r="C26" i="1"/>
  <c r="C8" i="3"/>
  <c r="B6" i="3"/>
  <c r="B4" i="3"/>
  <c r="E1" i="3"/>
  <c r="F18" i="4" l="1"/>
  <c r="F19" i="4"/>
  <c r="C100" i="1" s="1"/>
  <c r="I15" i="4"/>
  <c r="E17" i="4"/>
  <c r="I17" i="4" s="1"/>
  <c r="I16" i="4"/>
  <c r="G18" i="4"/>
  <c r="E14" i="4"/>
  <c r="I14" i="4" s="1"/>
  <c r="F17" i="4"/>
  <c r="C105" i="1"/>
  <c r="C35" i="1"/>
  <c r="K35" i="1"/>
  <c r="F39" i="1"/>
  <c r="H43" i="1"/>
  <c r="D35" i="1"/>
  <c r="H35" i="1"/>
  <c r="L35" i="1"/>
  <c r="F43" i="1"/>
  <c r="J43" i="1"/>
  <c r="K33" i="1"/>
  <c r="F35" i="1"/>
  <c r="J35" i="1"/>
  <c r="G35" i="1"/>
  <c r="J39" i="1"/>
  <c r="G39" i="1"/>
  <c r="C43" i="1"/>
  <c r="E35" i="1"/>
  <c r="I35" i="1"/>
  <c r="C75" i="1"/>
  <c r="F63" i="1"/>
  <c r="J63" i="1"/>
  <c r="E63" i="1"/>
  <c r="I63" i="1"/>
  <c r="F37" i="1"/>
  <c r="F40" i="1"/>
  <c r="K44" i="1"/>
  <c r="K41" i="1"/>
  <c r="J37" i="1"/>
  <c r="J40" i="1"/>
  <c r="E37" i="1"/>
  <c r="E40" i="1"/>
  <c r="I40" i="1"/>
  <c r="I37" i="1"/>
  <c r="C44" i="1"/>
  <c r="C41" i="1"/>
  <c r="C37" i="1"/>
  <c r="K37" i="1"/>
  <c r="D33" i="1"/>
  <c r="L33" i="1"/>
  <c r="H36" i="1"/>
  <c r="H39" i="1"/>
  <c r="D43" i="1"/>
  <c r="L43" i="1"/>
  <c r="E33" i="1"/>
  <c r="I33" i="1"/>
  <c r="G40" i="1"/>
  <c r="H33" i="1"/>
  <c r="D36" i="1"/>
  <c r="L36" i="1"/>
  <c r="F33" i="1"/>
  <c r="J33" i="1"/>
  <c r="I19" i="4" l="1"/>
  <c r="C113" i="1" s="1"/>
  <c r="C114" i="1" s="1"/>
  <c r="I18" i="4"/>
  <c r="E19" i="4"/>
  <c r="C101" i="1" s="1"/>
  <c r="E18" i="4"/>
  <c r="D75" i="1"/>
  <c r="C84" i="1"/>
  <c r="G41" i="1"/>
  <c r="G44" i="1"/>
  <c r="H40" i="1"/>
  <c r="H37" i="1"/>
  <c r="I41" i="1"/>
  <c r="I44" i="1"/>
  <c r="L40" i="1"/>
  <c r="L37" i="1"/>
  <c r="E44" i="1"/>
  <c r="E41" i="1"/>
  <c r="F41" i="1"/>
  <c r="F44" i="1"/>
  <c r="D40" i="1"/>
  <c r="D37" i="1"/>
  <c r="C49" i="1"/>
  <c r="C45" i="1"/>
  <c r="J41" i="1"/>
  <c r="J44" i="1"/>
  <c r="K49" i="1"/>
  <c r="K45" i="1"/>
  <c r="C115" i="1" l="1"/>
  <c r="C87" i="1"/>
  <c r="C91" i="1" s="1"/>
  <c r="E75" i="1"/>
  <c r="D84" i="1"/>
  <c r="F49" i="1"/>
  <c r="F45" i="1"/>
  <c r="C53" i="1"/>
  <c r="C54" i="1" s="1"/>
  <c r="C50" i="1"/>
  <c r="C52" i="1"/>
  <c r="L44" i="1"/>
  <c r="L41" i="1"/>
  <c r="C85" i="1" s="1"/>
  <c r="D85" i="1" s="1"/>
  <c r="E85" i="1" s="1"/>
  <c r="F85" i="1" s="1"/>
  <c r="G85" i="1" s="1"/>
  <c r="H85" i="1" s="1"/>
  <c r="I85" i="1" s="1"/>
  <c r="J85" i="1" s="1"/>
  <c r="K85" i="1" s="1"/>
  <c r="L85" i="1" s="1"/>
  <c r="K53" i="1"/>
  <c r="K54" i="1" s="1"/>
  <c r="K50" i="1"/>
  <c r="K52" i="1"/>
  <c r="H44" i="1"/>
  <c r="H41" i="1"/>
  <c r="J49" i="1"/>
  <c r="J45" i="1"/>
  <c r="I49" i="1"/>
  <c r="I45" i="1"/>
  <c r="G49" i="1"/>
  <c r="G45" i="1"/>
  <c r="D44" i="1"/>
  <c r="D41" i="1"/>
  <c r="E49" i="1"/>
  <c r="E45" i="1"/>
  <c r="L130" i="1" l="1"/>
  <c r="M130" i="1" s="1"/>
  <c r="H130" i="1"/>
  <c r="D130" i="1"/>
  <c r="G130" i="1"/>
  <c r="J130" i="1"/>
  <c r="F130" i="1"/>
  <c r="I130" i="1"/>
  <c r="E130" i="1"/>
  <c r="K130" i="1"/>
  <c r="C130" i="1"/>
  <c r="C86" i="1"/>
  <c r="F75" i="1"/>
  <c r="E84" i="1"/>
  <c r="D87" i="1"/>
  <c r="D91" i="1" s="1"/>
  <c r="D86" i="1"/>
  <c r="C88" i="1"/>
  <c r="D45" i="1"/>
  <c r="D49" i="1"/>
  <c r="L45" i="1"/>
  <c r="L49" i="1"/>
  <c r="I52" i="1"/>
  <c r="I50" i="1"/>
  <c r="I53" i="1"/>
  <c r="I54" i="1" s="1"/>
  <c r="H49" i="1"/>
  <c r="H45" i="1"/>
  <c r="E53" i="1"/>
  <c r="E54" i="1" s="1"/>
  <c r="E52" i="1"/>
  <c r="E50" i="1"/>
  <c r="G53" i="1"/>
  <c r="G54" i="1" s="1"/>
  <c r="G50" i="1"/>
  <c r="G52" i="1"/>
  <c r="J53" i="1"/>
  <c r="J54" i="1" s="1"/>
  <c r="J52" i="1"/>
  <c r="J50" i="1"/>
  <c r="F52" i="1"/>
  <c r="F50" i="1"/>
  <c r="F53" i="1"/>
  <c r="F54" i="1" s="1"/>
  <c r="D88" i="1" l="1"/>
  <c r="E87" i="1"/>
  <c r="E91" i="1" s="1"/>
  <c r="E86" i="1"/>
  <c r="C89" i="1"/>
  <c r="C90" i="1" s="1"/>
  <c r="G75" i="1"/>
  <c r="F84" i="1"/>
  <c r="L50" i="1"/>
  <c r="L53" i="1"/>
  <c r="L54" i="1" s="1"/>
  <c r="L52" i="1"/>
  <c r="H50" i="1"/>
  <c r="H53" i="1"/>
  <c r="H54" i="1" s="1"/>
  <c r="H52" i="1"/>
  <c r="D50" i="1"/>
  <c r="D53" i="1"/>
  <c r="D54" i="1" s="1"/>
  <c r="D52" i="1"/>
  <c r="E88" i="1" l="1"/>
  <c r="C92" i="1"/>
  <c r="C93" i="1" s="1"/>
  <c r="C129" i="1" s="1"/>
  <c r="C131" i="1" s="1"/>
  <c r="F87" i="1"/>
  <c r="F91" i="1" s="1"/>
  <c r="F86" i="1"/>
  <c r="E89" i="1"/>
  <c r="E90" i="1" s="1"/>
  <c r="H75" i="1"/>
  <c r="G84" i="1"/>
  <c r="D89" i="1"/>
  <c r="D90" i="1" s="1"/>
  <c r="E92" i="1" l="1"/>
  <c r="E93" i="1" s="1"/>
  <c r="E129" i="1" s="1"/>
  <c r="E131" i="1" s="1"/>
  <c r="D92" i="1"/>
  <c r="D93" i="1" s="1"/>
  <c r="D129" i="1" s="1"/>
  <c r="D131" i="1" s="1"/>
  <c r="F88" i="1"/>
  <c r="I75" i="1"/>
  <c r="H84" i="1"/>
  <c r="G87" i="1"/>
  <c r="G91" i="1" s="1"/>
  <c r="G86" i="1"/>
  <c r="H87" i="1" l="1"/>
  <c r="H91" i="1" s="1"/>
  <c r="H86" i="1"/>
  <c r="J75" i="1"/>
  <c r="I84" i="1"/>
  <c r="G88" i="1"/>
  <c r="F89" i="1"/>
  <c r="F90" i="1" s="1"/>
  <c r="F92" i="1" l="1"/>
  <c r="F93" i="1"/>
  <c r="F129" i="1" s="1"/>
  <c r="F131" i="1" s="1"/>
  <c r="I87" i="1"/>
  <c r="I91" i="1" s="1"/>
  <c r="I86" i="1"/>
  <c r="K75" i="1"/>
  <c r="J84" i="1"/>
  <c r="H88" i="1"/>
  <c r="G89" i="1"/>
  <c r="G90" i="1" s="1"/>
  <c r="I88" i="1" l="1"/>
  <c r="I89" i="1" s="1"/>
  <c r="I90" i="1" s="1"/>
  <c r="G92" i="1"/>
  <c r="G93" i="1"/>
  <c r="G129" i="1" s="1"/>
  <c r="G131" i="1" s="1"/>
  <c r="J87" i="1"/>
  <c r="J91" i="1" s="1"/>
  <c r="J86" i="1"/>
  <c r="L75" i="1"/>
  <c r="L84" i="1" s="1"/>
  <c r="K84" i="1"/>
  <c r="H89" i="1"/>
  <c r="H90" i="1" s="1"/>
  <c r="I92" i="1" l="1"/>
  <c r="I93" i="1"/>
  <c r="I129" i="1" s="1"/>
  <c r="I131" i="1" s="1"/>
  <c r="H92" i="1"/>
  <c r="H93" i="1" s="1"/>
  <c r="H129" i="1" s="1"/>
  <c r="H131" i="1" s="1"/>
  <c r="J88" i="1"/>
  <c r="K87" i="1"/>
  <c r="K91" i="1" s="1"/>
  <c r="K86" i="1"/>
  <c r="L87" i="1"/>
  <c r="L91" i="1" s="1"/>
  <c r="L86" i="1"/>
  <c r="K88" i="1" l="1"/>
  <c r="K89" i="1" s="1"/>
  <c r="K90" i="1" s="1"/>
  <c r="L88" i="1"/>
  <c r="J89" i="1"/>
  <c r="J90" i="1" s="1"/>
  <c r="J92" i="1" l="1"/>
  <c r="J93" i="1"/>
  <c r="J129" i="1" s="1"/>
  <c r="J131" i="1" s="1"/>
  <c r="K92" i="1"/>
  <c r="K93" i="1" s="1"/>
  <c r="K129" i="1" s="1"/>
  <c r="K131" i="1" s="1"/>
  <c r="L89" i="1"/>
  <c r="L90" i="1" s="1"/>
  <c r="L92" i="1" l="1"/>
  <c r="L93" i="1" s="1"/>
  <c r="L129" i="1" l="1"/>
  <c r="L131" i="1" s="1"/>
  <c r="B138" i="1" s="1"/>
  <c r="C121" i="1"/>
  <c r="C124" i="1" s="1"/>
  <c r="M129" i="1" s="1"/>
  <c r="M131" i="1" s="1"/>
  <c r="B143" i="1" s="1"/>
  <c r="B148" i="1" l="1"/>
  <c r="C150" i="1" s="1"/>
  <c r="C153" i="1" s="1"/>
  <c r="C155" i="1" s="1"/>
  <c r="B161" i="1" s="1"/>
  <c r="C157" i="1" l="1"/>
  <c r="D156" i="1"/>
  <c r="K68" i="1" l="1"/>
  <c r="H68" i="1"/>
  <c r="D68" i="1"/>
  <c r="C68" i="1"/>
  <c r="F68" i="1"/>
  <c r="L68" i="1"/>
  <c r="J68" i="1"/>
  <c r="E68" i="1"/>
  <c r="G68" i="1"/>
  <c r="I6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<sst xmlns="http://schemas.openxmlformats.org/spreadsheetml/2006/main" count="221" uniqueCount="173">
  <si>
    <t>Adjusted Equity Shares in Cr</t>
  </si>
  <si>
    <t>DERIVED:</t>
  </si>
  <si>
    <t>PRICE:</t>
  </si>
  <si>
    <t>Net Cash Flow</t>
  </si>
  <si>
    <t>Cash from Financing Activity</t>
  </si>
  <si>
    <t>Cash from Investing Activity</t>
  </si>
  <si>
    <t>Cash from Operating Activity</t>
  </si>
  <si>
    <t>Report Date</t>
  </si>
  <si>
    <t>CASH FLOW:</t>
  </si>
  <si>
    <t>Face value</t>
  </si>
  <si>
    <t>New Bonus Shares</t>
  </si>
  <si>
    <t>No. of Equity Shares</t>
  </si>
  <si>
    <t>Cash &amp; Bank</t>
  </si>
  <si>
    <t>Inventory</t>
  </si>
  <si>
    <t>Receivables</t>
  </si>
  <si>
    <t>Total</t>
  </si>
  <si>
    <t>Other Assets</t>
  </si>
  <si>
    <t>Investments</t>
  </si>
  <si>
    <t>Capital Work in Progress</t>
  </si>
  <si>
    <t>Net Block</t>
  </si>
  <si>
    <t>Other Liabilities</t>
  </si>
  <si>
    <t>Borrowings</t>
  </si>
  <si>
    <t>Reserves</t>
  </si>
  <si>
    <t>Equity Share Capital</t>
  </si>
  <si>
    <t>BALANCE SHEET</t>
  </si>
  <si>
    <t>EBITDA</t>
  </si>
  <si>
    <t>Operating Profit</t>
  </si>
  <si>
    <t>Net profit</t>
  </si>
  <si>
    <t>Tax</t>
  </si>
  <si>
    <t>Profit before tax</t>
  </si>
  <si>
    <t>Interest</t>
  </si>
  <si>
    <t>Depreciation</t>
  </si>
  <si>
    <t>Other Income</t>
  </si>
  <si>
    <t>Expenses</t>
  </si>
  <si>
    <t>Sales</t>
  </si>
  <si>
    <t>Quarters</t>
  </si>
  <si>
    <t>Dividend Amount</t>
  </si>
  <si>
    <t>Other Expenses</t>
  </si>
  <si>
    <t>Selling and admin</t>
  </si>
  <si>
    <t>Employee Cost</t>
  </si>
  <si>
    <t>Other Mfr. Exp</t>
  </si>
  <si>
    <t>Power and Fuel</t>
  </si>
  <si>
    <t>Change in Inventory</t>
  </si>
  <si>
    <t>Raw Material Cost</t>
  </si>
  <si>
    <t>PROFIT &amp; LOSS</t>
  </si>
  <si>
    <t>Market Capitalization</t>
  </si>
  <si>
    <t>Current Price</t>
  </si>
  <si>
    <t>Face Value</t>
  </si>
  <si>
    <t>Number of shares</t>
  </si>
  <si>
    <t>META</t>
  </si>
  <si>
    <t>CURRENT VERSION</t>
  </si>
  <si>
    <t>PLEASE DO NOT MAKE ANY CHANGES TO THIS SHEET</t>
  </si>
  <si>
    <t>LATEST VERSION</t>
  </si>
  <si>
    <t>INDIAN BANK</t>
  </si>
  <si>
    <t>COMPANY NAME</t>
  </si>
  <si>
    <t>Discounted Cashflow Model</t>
  </si>
  <si>
    <t>Financial Modelling Course</t>
  </si>
  <si>
    <t>Company Overview</t>
  </si>
  <si>
    <t>Indian Bank is a premier public sector financial institution in India headquartered in Chennai, Tamil Nadu</t>
  </si>
  <si>
    <t>Operates over 6,000 domestic branches alongside international branches and an IBU in Gift City.</t>
  </si>
  <si>
    <r>
      <t>Founded:</t>
    </r>
    <r>
      <rPr>
        <sz val="10"/>
        <color theme="1"/>
        <rFont val="Arial"/>
        <family val="2"/>
      </rPr>
      <t xml:space="preserve"> March 5, 1907 (commenced business on August 15, 1907)</t>
    </r>
  </si>
  <si>
    <r>
      <t>Headquarters:</t>
    </r>
    <r>
      <rPr>
        <sz val="10"/>
        <color theme="1"/>
        <rFont val="Arial"/>
        <family val="2"/>
      </rPr>
      <t xml:space="preserve"> Chennai, India</t>
    </r>
  </si>
  <si>
    <r>
      <t>Ownership:</t>
    </r>
    <r>
      <rPr>
        <sz val="10"/>
        <color theme="1"/>
        <rFont val="Arial"/>
        <family val="2"/>
      </rPr>
      <t xml:space="preserve"> Majority owned by the Government of India.</t>
    </r>
  </si>
  <si>
    <r>
      <t>Leadership:</t>
    </r>
    <r>
      <rPr>
        <sz val="10"/>
        <color theme="1"/>
        <rFont val="Arial"/>
        <family val="2"/>
      </rPr>
      <t xml:space="preserve"> Led by Managing Director and CEO Shri Binod Kumar.</t>
    </r>
  </si>
  <si>
    <t>Key Assumption And Methodology</t>
  </si>
  <si>
    <t>Parameter</t>
  </si>
  <si>
    <t>Value</t>
  </si>
  <si>
    <t>Rationale</t>
  </si>
  <si>
    <t xml:space="preserve">Valuation Date </t>
  </si>
  <si>
    <t>Projection Period</t>
  </si>
  <si>
    <t>Based On management guidance</t>
  </si>
  <si>
    <t>Annual Growth Tapering</t>
  </si>
  <si>
    <t>Terminal Growth Rate</t>
  </si>
  <si>
    <t>Conservative long term growth considering India's GDP and retail sector potential</t>
  </si>
  <si>
    <t>Risk Free Rate (RF)</t>
  </si>
  <si>
    <t>India 10 year bond yield</t>
  </si>
  <si>
    <t>EquityRisk Premium (ERP)</t>
  </si>
  <si>
    <t>Exprcted return over RFR for equity investors</t>
  </si>
  <si>
    <t>Tax Rate</t>
  </si>
  <si>
    <t>Effective Tax Rate based of historical performance</t>
  </si>
  <si>
    <t>Income Statement</t>
  </si>
  <si>
    <t>Particulars</t>
  </si>
  <si>
    <t>% Of growth</t>
  </si>
  <si>
    <t>COGS</t>
  </si>
  <si>
    <t>% of revenue</t>
  </si>
  <si>
    <t>Gross Profit</t>
  </si>
  <si>
    <t>% Margin</t>
  </si>
  <si>
    <t>Operating Expenses</t>
  </si>
  <si>
    <t>% Revenue</t>
  </si>
  <si>
    <t>% Of Sales</t>
  </si>
  <si>
    <t>EBIT</t>
  </si>
  <si>
    <t>% Debt</t>
  </si>
  <si>
    <t>PBT</t>
  </si>
  <si>
    <t>Net Profit</t>
  </si>
  <si>
    <t>Balance Sheet</t>
  </si>
  <si>
    <t>Equity Share capital</t>
  </si>
  <si>
    <t>Average</t>
  </si>
  <si>
    <t>Revenue Projection And Growth Assumption</t>
  </si>
  <si>
    <t>Year</t>
  </si>
  <si>
    <t>Revenue Growth%</t>
  </si>
  <si>
    <t>Revenue in (Crs)</t>
  </si>
  <si>
    <t>Chosen Scenarios</t>
  </si>
  <si>
    <t>Base Case</t>
  </si>
  <si>
    <t xml:space="preserve">Best Case </t>
  </si>
  <si>
    <t>Worst Case</t>
  </si>
  <si>
    <t>Free Cash flow Projection (Rs Crs)</t>
  </si>
  <si>
    <t>Revenue</t>
  </si>
  <si>
    <t>EBITDA Margin%</t>
  </si>
  <si>
    <t>Less Depreciation</t>
  </si>
  <si>
    <t>Less Tax</t>
  </si>
  <si>
    <t>NOPAT</t>
  </si>
  <si>
    <t>Add: Depreciation</t>
  </si>
  <si>
    <t>Less: Reinvestment</t>
  </si>
  <si>
    <t>Free Cash flow to firm</t>
  </si>
  <si>
    <t>WACC Calculation</t>
  </si>
  <si>
    <t>Target Capital Structure</t>
  </si>
  <si>
    <t>Proportion Of Debt</t>
  </si>
  <si>
    <t>Proportion Of Equity</t>
  </si>
  <si>
    <t>Current Capital Structure</t>
  </si>
  <si>
    <t>Market Cap</t>
  </si>
  <si>
    <t>Tota Debt</t>
  </si>
  <si>
    <t>Debt/Equity</t>
  </si>
  <si>
    <t>Cost Of Debt</t>
  </si>
  <si>
    <t>Pre-tax cost of debt</t>
  </si>
  <si>
    <t>tax Rate</t>
  </si>
  <si>
    <t>After Tax Cost of Debt</t>
  </si>
  <si>
    <t>Cost Of Equity</t>
  </si>
  <si>
    <t>Risk Free Rate</t>
  </si>
  <si>
    <t>Equity Risk Premium</t>
  </si>
  <si>
    <t>Levered Equity Beta</t>
  </si>
  <si>
    <t>WACC</t>
  </si>
  <si>
    <t>Name</t>
  </si>
  <si>
    <t>Mar Cap ₹ Cr</t>
  </si>
  <si>
    <t>Debt ₹ Cr</t>
  </si>
  <si>
    <t>Debt / Eq</t>
  </si>
  <si>
    <t>Sales ₹ Cr</t>
  </si>
  <si>
    <t>Beta</t>
  </si>
  <si>
    <t>Cash &amp; Equivalents ₹ Cr</t>
  </si>
  <si>
    <t>SBI</t>
  </si>
  <si>
    <t>Union Bank</t>
  </si>
  <si>
    <t>Punjab National Bank</t>
  </si>
  <si>
    <t>Bank of Baroda</t>
  </si>
  <si>
    <t>Indian Bank</t>
  </si>
  <si>
    <t>Comps Data</t>
  </si>
  <si>
    <t>Industry Beta</t>
  </si>
  <si>
    <t>Equit Value</t>
  </si>
  <si>
    <t>Total Debt</t>
  </si>
  <si>
    <t>Debt /Capital</t>
  </si>
  <si>
    <t>Tax Rate %</t>
  </si>
  <si>
    <t>Levered Beta</t>
  </si>
  <si>
    <t>Unlivered Beta</t>
  </si>
  <si>
    <t>Median</t>
  </si>
  <si>
    <t>Terminal Value</t>
  </si>
  <si>
    <t>Terminal Year FCF (Fy30)</t>
  </si>
  <si>
    <t>Terminal Value = FCF*(1+G) / (WACC-G)</t>
  </si>
  <si>
    <t>Present Value Calculation</t>
  </si>
  <si>
    <t>FCF (Rs Crs)</t>
  </si>
  <si>
    <t>Discount Factor</t>
  </si>
  <si>
    <t>PV of FCF (Rs Crs)</t>
  </si>
  <si>
    <t>DCF Valuation Summary</t>
  </si>
  <si>
    <t>Sum Of PV of FCF (FY 26-30)</t>
  </si>
  <si>
    <t>PV of Terminal VALUE</t>
  </si>
  <si>
    <t>Enterprise Value</t>
  </si>
  <si>
    <t>Less: Net Debt</t>
  </si>
  <si>
    <t>Add: Cash And Investments</t>
  </si>
  <si>
    <t>Equity Value</t>
  </si>
  <si>
    <t>Share Outstanding</t>
  </si>
  <si>
    <t>Fair Value Per Share</t>
  </si>
  <si>
    <t>Current Market price</t>
  </si>
  <si>
    <t>Upside/Downside</t>
  </si>
  <si>
    <t>Sensitivity Analysis</t>
  </si>
  <si>
    <t>Terminal Growth WACC</t>
  </si>
  <si>
    <t>Key Risks and Considerations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</si>
</sst>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0.0%"/>
    <numFmt numFmtId="167" formatCode="0.0"/>
    <numFmt numFmtId="168" formatCode="\:"/>
    <numFmt numFmtId="169" formatCode="0.0000%"/>
    <numFmt numFmtId="170" formatCode="0.00;[Red]0.00"/>
  </numFmts>
  <fonts count="27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Calibri"/>
      <family val="2"/>
    </font>
    <font>
      <sz val="28"/>
      <color theme="4" tint="-0.249977111117893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24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26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  <font>
      <sz val="11"/>
      <color theme="4" tint="-0.499984740745262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8" fillId="2" borderId="0" applyNumberFormat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</cellStyleXfs>
  <cellXfs count="68">
    <xf numFmtId="0" fontId="0" fillId="0" borderId="0" xfId="0"/>
    <xf numFmtId="43" fontId="0" fillId="0" borderId="0" xfId="2" applyFont="1" applyBorder="1"/>
    <xf numFmtId="164" fontId="0" fillId="0" borderId="0" xfId="2" applyNumberFormat="1" applyFont="1" applyBorder="1"/>
    <xf numFmtId="43" fontId="5" fillId="0" borderId="0" xfId="2" applyFont="1" applyBorder="1"/>
    <xf numFmtId="0" fontId="4" fillId="0" borderId="0" xfId="3"/>
    <xf numFmtId="43" fontId="4" fillId="0" borderId="0" xfId="2" applyFont="1" applyBorder="1"/>
    <xf numFmtId="165" fontId="6" fillId="0" borderId="0" xfId="2" applyNumberFormat="1" applyFont="1" applyFill="1" applyBorder="1"/>
    <xf numFmtId="165" fontId="7" fillId="3" borderId="0" xfId="3" applyNumberFormat="1" applyFont="1" applyFill="1" applyAlignment="1">
      <alignment horizontal="center"/>
    </xf>
    <xf numFmtId="165" fontId="7" fillId="3" borderId="0" xfId="2" applyNumberFormat="1" applyFont="1" applyFill="1" applyBorder="1"/>
    <xf numFmtId="0" fontId="5" fillId="0" borderId="0" xfId="3" applyFont="1"/>
    <xf numFmtId="0" fontId="10" fillId="4" borderId="0" xfId="0" applyFont="1" applyFill="1"/>
    <xf numFmtId="0" fontId="11" fillId="0" borderId="0" xfId="0" applyFont="1"/>
    <xf numFmtId="0" fontId="0" fillId="5" borderId="0" xfId="0" applyFill="1"/>
    <xf numFmtId="0" fontId="12" fillId="5" borderId="0" xfId="0" applyFont="1" applyFill="1"/>
    <xf numFmtId="0" fontId="15" fillId="0" borderId="0" xfId="0" applyFont="1"/>
    <xf numFmtId="0" fontId="16" fillId="0" borderId="0" xfId="0" applyFont="1" applyAlignment="1">
      <alignment vertical="center"/>
    </xf>
    <xf numFmtId="0" fontId="8" fillId="7" borderId="0" xfId="0" applyFont="1" applyFill="1"/>
    <xf numFmtId="9" fontId="0" fillId="0" borderId="0" xfId="0" applyNumberFormat="1"/>
    <xf numFmtId="10" fontId="0" fillId="0" borderId="0" xfId="0" applyNumberFormat="1"/>
    <xf numFmtId="166" fontId="0" fillId="0" borderId="0" xfId="0" applyNumberFormat="1"/>
    <xf numFmtId="9" fontId="0" fillId="0" borderId="0" xfId="1" applyFont="1"/>
    <xf numFmtId="10" fontId="0" fillId="0" borderId="0" xfId="1" applyNumberFormat="1" applyFont="1"/>
    <xf numFmtId="0" fontId="3" fillId="8" borderId="0" xfId="0" applyFont="1" applyFill="1"/>
    <xf numFmtId="10" fontId="3" fillId="8" borderId="0" xfId="1" applyNumberFormat="1" applyFont="1" applyFill="1"/>
    <xf numFmtId="0" fontId="0" fillId="9" borderId="0" xfId="0" applyFill="1"/>
    <xf numFmtId="167" fontId="0" fillId="9" borderId="0" xfId="0" applyNumberFormat="1" applyFill="1"/>
    <xf numFmtId="165" fontId="7" fillId="8" borderId="0" xfId="3" applyNumberFormat="1" applyFont="1" applyFill="1" applyAlignment="1">
      <alignment horizontal="center"/>
    </xf>
    <xf numFmtId="2" fontId="0" fillId="0" borderId="0" xfId="0" applyNumberFormat="1"/>
    <xf numFmtId="43" fontId="4" fillId="10" borderId="0" xfId="2" applyFont="1" applyFill="1" applyBorder="1"/>
    <xf numFmtId="2" fontId="0" fillId="10" borderId="0" xfId="0" applyNumberFormat="1" applyFill="1"/>
    <xf numFmtId="1" fontId="0" fillId="0" borderId="0" xfId="0" applyNumberFormat="1"/>
    <xf numFmtId="168" fontId="0" fillId="0" borderId="0" xfId="0" applyNumberFormat="1"/>
    <xf numFmtId="168" fontId="0" fillId="11" borderId="0" xfId="0" applyNumberFormat="1" applyFill="1"/>
    <xf numFmtId="169" fontId="0" fillId="0" borderId="0" xfId="0" applyNumberFormat="1"/>
    <xf numFmtId="1" fontId="5" fillId="9" borderId="0" xfId="0" applyNumberFormat="1" applyFont="1" applyFill="1"/>
    <xf numFmtId="0" fontId="0" fillId="7" borderId="0" xfId="0" applyFill="1"/>
    <xf numFmtId="10" fontId="14" fillId="4" borderId="0" xfId="0" applyNumberFormat="1" applyFont="1" applyFill="1"/>
    <xf numFmtId="0" fontId="19" fillId="6" borderId="0" xfId="0" applyFont="1" applyFill="1"/>
    <xf numFmtId="10" fontId="19" fillId="6" borderId="0" xfId="0" applyNumberFormat="1" applyFont="1" applyFill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4" fontId="4" fillId="0" borderId="0" xfId="0" applyNumberFormat="1" applyFont="1" applyAlignment="1">
      <alignment horizontal="right" vertical="center" wrapText="1"/>
    </xf>
    <xf numFmtId="0" fontId="8" fillId="7" borderId="0" xfId="0" applyFont="1" applyFill="1" applyAlignment="1">
      <alignment horizontal="center"/>
    </xf>
    <xf numFmtId="9" fontId="8" fillId="7" borderId="0" xfId="0" applyNumberFormat="1" applyFont="1" applyFill="1"/>
    <xf numFmtId="4" fontId="0" fillId="0" borderId="0" xfId="0" applyNumberFormat="1"/>
    <xf numFmtId="3" fontId="0" fillId="0" borderId="0" xfId="0" applyNumberFormat="1"/>
    <xf numFmtId="9" fontId="2" fillId="0" borderId="0" xfId="0" applyNumberFormat="1" applyFont="1"/>
    <xf numFmtId="170" fontId="8" fillId="7" borderId="0" xfId="0" applyNumberFormat="1" applyFont="1" applyFill="1"/>
    <xf numFmtId="0" fontId="21" fillId="4" borderId="0" xfId="0" applyFont="1" applyFill="1"/>
    <xf numFmtId="1" fontId="21" fillId="4" borderId="0" xfId="0" applyNumberFormat="1" applyFont="1" applyFill="1"/>
    <xf numFmtId="0" fontId="22" fillId="0" borderId="0" xfId="0" applyFont="1"/>
    <xf numFmtId="9" fontId="21" fillId="0" borderId="0" xfId="0" applyNumberFormat="1" applyFont="1"/>
    <xf numFmtId="0" fontId="13" fillId="0" borderId="0" xfId="0" applyFont="1" applyAlignment="1">
      <alignment horizontal="center"/>
    </xf>
    <xf numFmtId="1" fontId="23" fillId="0" borderId="0" xfId="0" applyNumberFormat="1" applyFont="1" applyAlignment="1">
      <alignment horizontal="center"/>
    </xf>
    <xf numFmtId="1" fontId="5" fillId="12" borderId="0" xfId="0" applyNumberFormat="1" applyFont="1" applyFill="1" applyAlignment="1">
      <alignment horizontal="center" vertical="center"/>
    </xf>
    <xf numFmtId="0" fontId="0" fillId="12" borderId="0" xfId="0" applyFill="1" applyAlignment="1">
      <alignment horizontal="center"/>
    </xf>
    <xf numFmtId="0" fontId="24" fillId="13" borderId="0" xfId="0" applyFont="1" applyFill="1"/>
    <xf numFmtId="1" fontId="24" fillId="13" borderId="0" xfId="0" applyNumberFormat="1" applyFont="1" applyFill="1"/>
    <xf numFmtId="164" fontId="0" fillId="0" borderId="0" xfId="0" applyNumberFormat="1"/>
    <xf numFmtId="2" fontId="25" fillId="13" borderId="0" xfId="0" applyNumberFormat="1" applyFont="1" applyFill="1"/>
    <xf numFmtId="9" fontId="26" fillId="0" borderId="0" xfId="0" applyNumberFormat="1" applyFont="1"/>
    <xf numFmtId="9" fontId="0" fillId="0" borderId="0" xfId="0" applyNumberFormat="1" applyAlignment="1">
      <alignment horizontal="left"/>
    </xf>
    <xf numFmtId="168" fontId="0" fillId="0" borderId="0" xfId="0" applyNumberFormat="1" applyAlignment="1">
      <alignment horizontal="left"/>
    </xf>
    <xf numFmtId="0" fontId="18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43" fontId="9" fillId="0" borderId="0" xfId="5" applyNumberFormat="1" applyBorder="1" applyAlignment="1" applyProtection="1">
      <alignment horizontal="center"/>
    </xf>
    <xf numFmtId="43" fontId="7" fillId="2" borderId="0" xfId="4" applyNumberFormat="1" applyFont="1" applyBorder="1" applyAlignment="1">
      <alignment horizontal="center"/>
    </xf>
  </cellXfs>
  <cellStyles count="6">
    <cellStyle name="Accent6 2" xfId="4" xr:uid="{4EC70EE6-4B2C-4E4E-A00A-5D3835196D02}"/>
    <cellStyle name="Comma 2" xfId="2" xr:uid="{8A43DFB8-41D5-4C53-9E10-24122D6236FE}"/>
    <cellStyle name="Hyperlink" xfId="5" builtinId="8"/>
    <cellStyle name="Normal" xfId="0" builtinId="0"/>
    <cellStyle name="Normal 2" xfId="3" xr:uid="{E8A40A77-6CF7-4D40-A4B0-90F0DF3CEA1C}"/>
    <cellStyle name="Percent" xfId="1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microsoft.com/office/2017/10/relationships/person" Target="persons/perso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uber\Desktop\Financial%20Modeling%20(Beginning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9ad465b0b741610/Desktop/Altaf%20Folder/All%20about%20Finance%20and%20Learning/Financial%20Modelling%20%5e0%20Analysis/Indian%20Bank.xlsx" TargetMode="External"/><Relationship Id="rId1" Type="http://schemas.openxmlformats.org/officeDocument/2006/relationships/externalLinkPath" Target="Indian%20Ban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ta Steels"/>
      <sheetName val="Function 1"/>
      <sheetName val="Simplification&gt;"/>
      <sheetName val="Simplify using Name"/>
      <sheetName val="Using Vlook Up"/>
      <sheetName val="Advanced Simplifivation &gt;&gt;&gt;"/>
      <sheetName val="Goal Seek"/>
      <sheetName val="Sheet1"/>
    </sheetNames>
    <sheetDataSet>
      <sheetData sheetId="0" refreshError="1"/>
      <sheetData sheetId="1" refreshError="1"/>
      <sheetData sheetId="2" refreshError="1">
        <row r="3">
          <cell r="C3">
            <v>0.04</v>
          </cell>
        </row>
        <row r="4">
          <cell r="C4">
            <v>0.1</v>
          </cell>
        </row>
        <row r="5">
          <cell r="C5">
            <v>1.25</v>
          </cell>
        </row>
        <row r="6">
          <cell r="C6">
            <v>0.14000000000000001</v>
          </cell>
        </row>
        <row r="7">
          <cell r="C7">
            <v>0.3</v>
          </cell>
        </row>
        <row r="8">
          <cell r="C8">
            <v>125000</v>
          </cell>
        </row>
        <row r="9">
          <cell r="C9">
            <v>125000</v>
          </cell>
        </row>
      </sheetData>
      <sheetData sheetId="3" refreshError="1">
        <row r="7">
          <cell r="C7">
            <v>0.11500000000000002</v>
          </cell>
        </row>
        <row r="8">
          <cell r="G8">
            <v>14500</v>
          </cell>
        </row>
        <row r="9">
          <cell r="C9">
            <v>0.14000000000000001</v>
          </cell>
          <cell r="G9">
            <v>0.1</v>
          </cell>
        </row>
        <row r="10">
          <cell r="G10">
            <v>0.6</v>
          </cell>
        </row>
        <row r="11">
          <cell r="C11">
            <v>9.8000000000000004E-2</v>
          </cell>
        </row>
        <row r="13">
          <cell r="C13">
            <v>125000</v>
          </cell>
        </row>
        <row r="14">
          <cell r="C14">
            <v>125000</v>
          </cell>
        </row>
        <row r="15">
          <cell r="C15">
            <v>0.5</v>
          </cell>
        </row>
        <row r="16">
          <cell r="C16">
            <v>0.5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s&gt;"/>
      <sheetName val="HistoricalFS"/>
      <sheetName val="Ratio Analysis"/>
      <sheetName val="Foreacasting"/>
      <sheetName val="Data&gt;"/>
      <sheetName val="Data Sheet"/>
      <sheetName val="Cash Flow stat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E1" t="str">
            <v/>
          </cell>
        </row>
      </sheetData>
      <sheetData sheetId="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715F1-921E-4F1F-8480-5CDD3D8D53B1}">
  <dimension ref="B2:M169"/>
  <sheetViews>
    <sheetView showGridLines="0" topLeftCell="A91" zoomScale="70" zoomScaleNormal="70" workbookViewId="0">
      <selection activeCell="C100" sqref="C100"/>
    </sheetView>
  </sheetViews>
  <sheetFormatPr defaultRowHeight="14.4" outlineLevelRow="1" x14ac:dyDescent="0.3"/>
  <cols>
    <col min="2" max="2" width="58.109375" customWidth="1"/>
    <col min="3" max="3" width="13.21875" bestFit="1" customWidth="1"/>
    <col min="4" max="4" width="10.88671875" customWidth="1"/>
    <col min="5" max="6" width="12.44140625" bestFit="1" customWidth="1"/>
    <col min="7" max="11" width="12.77734375" bestFit="1" customWidth="1"/>
    <col min="12" max="12" width="10.33203125" bestFit="1" customWidth="1"/>
    <col min="13" max="13" width="13.33203125" bestFit="1" customWidth="1"/>
  </cols>
  <sheetData>
    <row r="2" spans="2:12" ht="36.6" x14ac:dyDescent="0.7">
      <c r="B2" s="10" t="s">
        <v>55</v>
      </c>
    </row>
    <row r="3" spans="2:12" ht="23.4" x14ac:dyDescent="0.45">
      <c r="B3" s="11" t="s">
        <v>56</v>
      </c>
    </row>
    <row r="4" spans="2:12" x14ac:dyDescent="0.3">
      <c r="B4" s="12"/>
    </row>
    <row r="6" spans="2:12" ht="25.8" x14ac:dyDescent="0.5">
      <c r="B6" s="13" t="s">
        <v>57</v>
      </c>
    </row>
    <row r="7" spans="2:12" ht="15.6" x14ac:dyDescent="0.3">
      <c r="B7" s="14" t="s">
        <v>58</v>
      </c>
    </row>
    <row r="9" spans="2:12" x14ac:dyDescent="0.3">
      <c r="B9" s="15" t="s">
        <v>60</v>
      </c>
    </row>
    <row r="10" spans="2:12" x14ac:dyDescent="0.3">
      <c r="B10" s="15" t="s">
        <v>61</v>
      </c>
    </row>
    <row r="11" spans="2:12" x14ac:dyDescent="0.3">
      <c r="B11" s="15" t="s">
        <v>62</v>
      </c>
    </row>
    <row r="12" spans="2:12" x14ac:dyDescent="0.3">
      <c r="B12" s="15" t="s">
        <v>63</v>
      </c>
    </row>
    <row r="13" spans="2:12" x14ac:dyDescent="0.3">
      <c r="B13" t="s">
        <v>59</v>
      </c>
    </row>
    <row r="16" spans="2:12" ht="31.2" x14ac:dyDescent="0.6">
      <c r="B16" s="64" t="s">
        <v>64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</row>
    <row r="17" spans="2:12" outlineLevel="1" x14ac:dyDescent="0.3">
      <c r="B17" s="16" t="s">
        <v>65</v>
      </c>
      <c r="C17" s="16" t="s">
        <v>66</v>
      </c>
      <c r="D17" s="16" t="s">
        <v>67</v>
      </c>
    </row>
    <row r="18" spans="2:12" outlineLevel="1" x14ac:dyDescent="0.3">
      <c r="B18" t="s">
        <v>68</v>
      </c>
    </row>
    <row r="19" spans="2:12" outlineLevel="1" x14ac:dyDescent="0.3">
      <c r="B19" t="s">
        <v>69</v>
      </c>
    </row>
    <row r="20" spans="2:12" outlineLevel="1" x14ac:dyDescent="0.3">
      <c r="C20" s="17">
        <v>0.2</v>
      </c>
      <c r="D20" t="s">
        <v>70</v>
      </c>
    </row>
    <row r="21" spans="2:12" outlineLevel="1" x14ac:dyDescent="0.3">
      <c r="B21" t="s">
        <v>71</v>
      </c>
      <c r="C21" s="17">
        <v>0.02</v>
      </c>
    </row>
    <row r="22" spans="2:12" outlineLevel="1" x14ac:dyDescent="0.3"/>
    <row r="23" spans="2:12" outlineLevel="1" x14ac:dyDescent="0.3">
      <c r="B23" t="s">
        <v>72</v>
      </c>
      <c r="C23" s="17">
        <v>0.06</v>
      </c>
      <c r="D23" t="s">
        <v>73</v>
      </c>
    </row>
    <row r="24" spans="2:12" outlineLevel="1" x14ac:dyDescent="0.3"/>
    <row r="25" spans="2:12" outlineLevel="1" x14ac:dyDescent="0.3">
      <c r="B25" t="s">
        <v>74</v>
      </c>
      <c r="C25" s="18">
        <v>6.5000000000000002E-2</v>
      </c>
      <c r="D25" t="s">
        <v>75</v>
      </c>
    </row>
    <row r="26" spans="2:12" outlineLevel="1" x14ac:dyDescent="0.3">
      <c r="B26" t="s">
        <v>76</v>
      </c>
      <c r="C26" s="19">
        <f>12%-C25</f>
        <v>5.4999999999999993E-2</v>
      </c>
      <c r="D26" t="s">
        <v>77</v>
      </c>
    </row>
    <row r="27" spans="2:12" outlineLevel="1" x14ac:dyDescent="0.3">
      <c r="B27" t="s">
        <v>78</v>
      </c>
      <c r="C27" s="17">
        <v>0.25</v>
      </c>
      <c r="D27" t="s">
        <v>79</v>
      </c>
    </row>
    <row r="28" spans="2:12" outlineLevel="1" x14ac:dyDescent="0.3"/>
    <row r="30" spans="2:12" ht="31.2" x14ac:dyDescent="0.6">
      <c r="B30" s="64" t="s">
        <v>80</v>
      </c>
      <c r="C30" s="64"/>
      <c r="D30" s="64"/>
      <c r="E30" s="64"/>
      <c r="F30" s="64"/>
      <c r="G30" s="64"/>
      <c r="H30" s="64"/>
      <c r="I30" s="64"/>
      <c r="J30" s="64"/>
      <c r="K30" s="64"/>
      <c r="L30" s="64"/>
    </row>
    <row r="31" spans="2:12" outlineLevel="1" x14ac:dyDescent="0.3">
      <c r="B31" s="26" t="s">
        <v>81</v>
      </c>
      <c r="C31" s="26">
        <v>43190</v>
      </c>
      <c r="D31" s="26">
        <v>43555</v>
      </c>
      <c r="E31" s="26">
        <v>43921</v>
      </c>
      <c r="F31" s="26">
        <v>44286</v>
      </c>
      <c r="G31" s="26">
        <v>44651</v>
      </c>
      <c r="H31" s="26">
        <v>45016</v>
      </c>
      <c r="I31" s="26">
        <v>45382</v>
      </c>
      <c r="J31" s="26">
        <v>45747</v>
      </c>
      <c r="K31" s="26">
        <v>46112</v>
      </c>
      <c r="L31" s="26">
        <v>46112</v>
      </c>
    </row>
    <row r="32" spans="2:12" outlineLevel="1" x14ac:dyDescent="0.3">
      <c r="B32" t="s">
        <v>34</v>
      </c>
      <c r="C32">
        <f>'Data Sheet'!B17</f>
        <v>16039.22</v>
      </c>
      <c r="D32">
        <f>'Data Sheet'!C17</f>
        <v>17115.32</v>
      </c>
      <c r="E32">
        <f>'Data Sheet'!D17</f>
        <v>19182.060000000001</v>
      </c>
      <c r="F32">
        <f>'Data Sheet'!E17</f>
        <v>21401.279999999999</v>
      </c>
      <c r="G32">
        <f>'Data Sheet'!F17</f>
        <v>39108.080000000002</v>
      </c>
      <c r="H32">
        <f>'Data Sheet'!G17</f>
        <v>38888.44</v>
      </c>
      <c r="I32">
        <f>'Data Sheet'!H17</f>
        <v>44985.16</v>
      </c>
      <c r="J32">
        <f>'Data Sheet'!I17</f>
        <v>55649.73</v>
      </c>
      <c r="K32">
        <f>'Data Sheet'!J17</f>
        <v>62039.43</v>
      </c>
      <c r="L32">
        <f>'Data Sheet'!K17</f>
        <v>67504.09</v>
      </c>
    </row>
    <row r="33" spans="2:12" outlineLevel="1" x14ac:dyDescent="0.3">
      <c r="B33" t="s">
        <v>82</v>
      </c>
      <c r="D33" s="20">
        <f>D32/C32-1</f>
        <v>6.7091791246706611E-2</v>
      </c>
      <c r="E33" s="20">
        <f t="shared" ref="E33:L33" si="0">E32/D32-1</f>
        <v>0.12075380419413717</v>
      </c>
      <c r="F33" s="20">
        <f t="shared" si="0"/>
        <v>0.11569247515647429</v>
      </c>
      <c r="G33" s="20">
        <f t="shared" si="0"/>
        <v>0.82737107313207447</v>
      </c>
      <c r="H33" s="20">
        <f t="shared" si="0"/>
        <v>-5.6162307124256738E-3</v>
      </c>
      <c r="I33" s="20">
        <f t="shared" si="0"/>
        <v>0.15677460962692247</v>
      </c>
      <c r="J33" s="20">
        <f t="shared" si="0"/>
        <v>0.23706862440858267</v>
      </c>
      <c r="K33" s="20">
        <f t="shared" si="0"/>
        <v>0.11481996408607897</v>
      </c>
      <c r="L33" s="20">
        <f t="shared" si="0"/>
        <v>8.8083659053604935E-2</v>
      </c>
    </row>
    <row r="34" spans="2:12" outlineLevel="1" x14ac:dyDescent="0.3">
      <c r="B34" t="s">
        <v>83</v>
      </c>
      <c r="C34">
        <f>'Data Sheet'!B21</f>
        <v>93.6</v>
      </c>
      <c r="D34">
        <f>'Data Sheet'!C21</f>
        <v>94.57</v>
      </c>
      <c r="E34">
        <f>'Data Sheet'!D21</f>
        <v>95.21</v>
      </c>
      <c r="F34">
        <f>'Data Sheet'!E21</f>
        <v>93.96</v>
      </c>
      <c r="G34">
        <f>'Data Sheet'!F21</f>
        <v>201.76</v>
      </c>
      <c r="H34">
        <f>'Data Sheet'!G21</f>
        <v>246.33</v>
      </c>
      <c r="I34">
        <f>'Data Sheet'!H21</f>
        <v>195.34</v>
      </c>
      <c r="J34">
        <f>'Data Sheet'!I21</f>
        <v>252.83</v>
      </c>
      <c r="K34">
        <f>'Data Sheet'!J21</f>
        <v>274.02</v>
      </c>
      <c r="L34">
        <f>'Data Sheet'!K21</f>
        <v>280.32</v>
      </c>
    </row>
    <row r="35" spans="2:12" outlineLevel="1" x14ac:dyDescent="0.3">
      <c r="B35" t="s">
        <v>84</v>
      </c>
      <c r="C35" s="20">
        <f>C34/C32</f>
        <v>5.8356952520135022E-3</v>
      </c>
      <c r="D35" s="20">
        <f t="shared" ref="D35:L35" si="1">D34/D32</f>
        <v>5.5254590624072468E-3</v>
      </c>
      <c r="E35" s="20">
        <f t="shared" si="1"/>
        <v>4.9634919294382351E-3</v>
      </c>
      <c r="F35" s="20">
        <f t="shared" si="1"/>
        <v>4.390391602745256E-3</v>
      </c>
      <c r="G35" s="20">
        <f t="shared" si="1"/>
        <v>5.1590361889410057E-3</v>
      </c>
      <c r="H35" s="20">
        <f t="shared" si="1"/>
        <v>6.3342731156096769E-3</v>
      </c>
      <c r="I35" s="20">
        <f t="shared" si="1"/>
        <v>4.3423208898223323E-3</v>
      </c>
      <c r="J35" s="20">
        <f t="shared" si="1"/>
        <v>4.5432385745627158E-3</v>
      </c>
      <c r="K35" s="20">
        <f t="shared" si="1"/>
        <v>4.4168684335107525E-3</v>
      </c>
      <c r="L35" s="20">
        <f t="shared" si="1"/>
        <v>4.1526372698306134E-3</v>
      </c>
    </row>
    <row r="36" spans="2:12" outlineLevel="1" x14ac:dyDescent="0.3">
      <c r="B36" s="22" t="s">
        <v>85</v>
      </c>
      <c r="C36" s="22">
        <f>C32-C34</f>
        <v>15945.619999999999</v>
      </c>
      <c r="D36" s="22">
        <f t="shared" ref="D36:L36" si="2">D32-D34</f>
        <v>17020.75</v>
      </c>
      <c r="E36" s="22">
        <f t="shared" si="2"/>
        <v>19086.850000000002</v>
      </c>
      <c r="F36" s="22">
        <f t="shared" si="2"/>
        <v>21307.32</v>
      </c>
      <c r="G36" s="22">
        <f t="shared" si="2"/>
        <v>38906.32</v>
      </c>
      <c r="H36" s="22">
        <f t="shared" si="2"/>
        <v>38642.11</v>
      </c>
      <c r="I36" s="22">
        <f t="shared" si="2"/>
        <v>44789.820000000007</v>
      </c>
      <c r="J36" s="22">
        <f t="shared" si="2"/>
        <v>55396.9</v>
      </c>
      <c r="K36" s="22">
        <f t="shared" si="2"/>
        <v>61765.41</v>
      </c>
      <c r="L36" s="22">
        <f t="shared" si="2"/>
        <v>67223.76999999999</v>
      </c>
    </row>
    <row r="37" spans="2:12" outlineLevel="1" x14ac:dyDescent="0.3">
      <c r="B37" s="22" t="s">
        <v>86</v>
      </c>
      <c r="C37" s="23">
        <f>C36/C32</f>
        <v>0.99416430474798645</v>
      </c>
      <c r="D37" s="23">
        <f t="shared" ref="D37:L37" si="3">D36/D32</f>
        <v>0.9944745409375928</v>
      </c>
      <c r="E37" s="23">
        <f t="shared" si="3"/>
        <v>0.99503650807056176</v>
      </c>
      <c r="F37" s="23">
        <f t="shared" si="3"/>
        <v>0.99560960839725476</v>
      </c>
      <c r="G37" s="23">
        <f t="shared" si="3"/>
        <v>0.99484096381105891</v>
      </c>
      <c r="H37" s="23">
        <f t="shared" si="3"/>
        <v>0.99366572688439025</v>
      </c>
      <c r="I37" s="23">
        <f t="shared" si="3"/>
        <v>0.99565767911017777</v>
      </c>
      <c r="J37" s="23">
        <f t="shared" si="3"/>
        <v>0.99545676142543726</v>
      </c>
      <c r="K37" s="23">
        <f t="shared" si="3"/>
        <v>0.99558313156648925</v>
      </c>
      <c r="L37" s="23">
        <f t="shared" si="3"/>
        <v>0.99584736273016927</v>
      </c>
    </row>
    <row r="38" spans="2:12" outlineLevel="1" x14ac:dyDescent="0.3">
      <c r="B38" t="s">
        <v>87</v>
      </c>
      <c r="C38">
        <f>SUM('Data Sheet'!B22:B24)</f>
        <v>6049.9699999999993</v>
      </c>
      <c r="D38">
        <f>SUM('Data Sheet'!C22:C24)</f>
        <v>6903.73</v>
      </c>
      <c r="E38">
        <f>SUM('Data Sheet'!D22:D24)</f>
        <v>8193.58</v>
      </c>
      <c r="F38">
        <f>SUM('Data Sheet'!E22:E24)</f>
        <v>9143.85</v>
      </c>
      <c r="G38">
        <f>SUM('Data Sheet'!F22:F24)</f>
        <v>17827.2</v>
      </c>
      <c r="H38">
        <f>SUM('Data Sheet'!G22:G24)</f>
        <v>20038.41</v>
      </c>
      <c r="I38">
        <f>SUM('Data Sheet'!H22:H24)</f>
        <v>21381.45</v>
      </c>
      <c r="J38">
        <f>SUM('Data Sheet'!I22:I24)</f>
        <v>20089.599999999999</v>
      </c>
      <c r="K38">
        <f>SUM('Data Sheet'!J22:J24)</f>
        <v>19544.16</v>
      </c>
      <c r="L38">
        <f>SUM('Data Sheet'!K22:K24)</f>
        <v>20429.800000000003</v>
      </c>
    </row>
    <row r="39" spans="2:12" outlineLevel="1" x14ac:dyDescent="0.3">
      <c r="B39" t="s">
        <v>88</v>
      </c>
      <c r="C39" s="21">
        <f>C38/C32</f>
        <v>0.37719851713487312</v>
      </c>
      <c r="D39" s="21">
        <f t="shared" ref="D39:L39" si="4">D38/D32</f>
        <v>0.40336552281815352</v>
      </c>
      <c r="E39" s="21">
        <f t="shared" si="4"/>
        <v>0.42714807481573924</v>
      </c>
      <c r="F39" s="21">
        <f t="shared" si="4"/>
        <v>0.42725715471224157</v>
      </c>
      <c r="G39" s="21">
        <f t="shared" si="4"/>
        <v>0.45584441885155191</v>
      </c>
      <c r="H39" s="21">
        <f t="shared" si="4"/>
        <v>0.51527934779590023</v>
      </c>
      <c r="I39" s="21">
        <f t="shared" si="4"/>
        <v>0.47530007673641705</v>
      </c>
      <c r="J39" s="21">
        <f t="shared" si="4"/>
        <v>0.36100085301402174</v>
      </c>
      <c r="K39" s="21">
        <f t="shared" si="4"/>
        <v>0.31502803942589414</v>
      </c>
      <c r="L39" s="21">
        <f t="shared" si="4"/>
        <v>0.30264536563636374</v>
      </c>
    </row>
    <row r="40" spans="2:12" outlineLevel="1" x14ac:dyDescent="0.3">
      <c r="B40" s="22" t="s">
        <v>25</v>
      </c>
      <c r="C40" s="22">
        <f>C36-C38</f>
        <v>9895.65</v>
      </c>
      <c r="D40" s="22">
        <f t="shared" ref="D40:L40" si="5">D36-D38</f>
        <v>10117.02</v>
      </c>
      <c r="E40" s="22">
        <f t="shared" si="5"/>
        <v>10893.270000000002</v>
      </c>
      <c r="F40" s="22">
        <f t="shared" si="5"/>
        <v>12163.47</v>
      </c>
      <c r="G40" s="22">
        <f t="shared" si="5"/>
        <v>21079.119999999999</v>
      </c>
      <c r="H40" s="22">
        <f t="shared" si="5"/>
        <v>18603.7</v>
      </c>
      <c r="I40" s="22">
        <f t="shared" si="5"/>
        <v>23408.370000000006</v>
      </c>
      <c r="J40" s="22">
        <f t="shared" si="5"/>
        <v>35307.300000000003</v>
      </c>
      <c r="K40" s="22">
        <f t="shared" si="5"/>
        <v>42221.25</v>
      </c>
      <c r="L40" s="22">
        <f t="shared" si="5"/>
        <v>46793.969999999987</v>
      </c>
    </row>
    <row r="41" spans="2:12" outlineLevel="1" x14ac:dyDescent="0.3">
      <c r="B41" s="22" t="s">
        <v>88</v>
      </c>
      <c r="C41" s="23">
        <f>C40/C32</f>
        <v>0.61696578761311338</v>
      </c>
      <c r="D41" s="23">
        <f t="shared" ref="D41:L41" si="6">D40/D32</f>
        <v>0.59110901811943928</v>
      </c>
      <c r="E41" s="23">
        <f t="shared" si="6"/>
        <v>0.56788843325482252</v>
      </c>
      <c r="F41" s="23">
        <f t="shared" si="6"/>
        <v>0.56835245368501319</v>
      </c>
      <c r="G41" s="23">
        <f t="shared" si="6"/>
        <v>0.538996544959507</v>
      </c>
      <c r="H41" s="23">
        <f t="shared" si="6"/>
        <v>0.47838637908849002</v>
      </c>
      <c r="I41" s="23">
        <f t="shared" si="6"/>
        <v>0.52035760237376072</v>
      </c>
      <c r="J41" s="23">
        <f t="shared" si="6"/>
        <v>0.63445590841141553</v>
      </c>
      <c r="K41" s="23">
        <f t="shared" si="6"/>
        <v>0.68055509214059506</v>
      </c>
      <c r="L41" s="23">
        <f t="shared" si="6"/>
        <v>0.69320199709380559</v>
      </c>
    </row>
    <row r="42" spans="2:12" outlineLevel="1" x14ac:dyDescent="0.3">
      <c r="B42" t="s">
        <v>31</v>
      </c>
      <c r="C42">
        <f>'Data Sheet'!B26</f>
        <v>166.24</v>
      </c>
      <c r="D42">
        <f>'Data Sheet'!C26</f>
        <v>236.84</v>
      </c>
      <c r="E42">
        <f>'Data Sheet'!D26</f>
        <v>259.29000000000002</v>
      </c>
      <c r="F42">
        <f>'Data Sheet'!E26</f>
        <v>314.01</v>
      </c>
      <c r="G42">
        <f>'Data Sheet'!F26</f>
        <v>636.9</v>
      </c>
      <c r="H42">
        <f>'Data Sheet'!G26</f>
        <v>600.86</v>
      </c>
      <c r="I42">
        <f>'Data Sheet'!H26</f>
        <v>532.39</v>
      </c>
      <c r="J42">
        <f>'Data Sheet'!I26</f>
        <v>531.14</v>
      </c>
      <c r="K42">
        <f>'Data Sheet'!J26</f>
        <v>542.94000000000005</v>
      </c>
      <c r="L42">
        <f>'Data Sheet'!K26</f>
        <v>608.86</v>
      </c>
    </row>
    <row r="43" spans="2:12" outlineLevel="1" x14ac:dyDescent="0.3">
      <c r="B43" t="s">
        <v>89</v>
      </c>
      <c r="C43" s="21">
        <f>C42/C32</f>
        <v>1.0364593789473554E-2</v>
      </c>
      <c r="D43" s="21">
        <f t="shared" ref="D43:K43" si="7">D42/D32</f>
        <v>1.3837894938569656E-2</v>
      </c>
      <c r="E43" s="21">
        <f t="shared" si="7"/>
        <v>1.3517317743766832E-2</v>
      </c>
      <c r="F43" s="21">
        <f t="shared" si="7"/>
        <v>1.4672486879289463E-2</v>
      </c>
      <c r="G43" s="21">
        <f t="shared" si="7"/>
        <v>1.6285637136878108E-2</v>
      </c>
      <c r="H43" s="21">
        <f t="shared" si="7"/>
        <v>1.5450864061402309E-2</v>
      </c>
      <c r="I43" s="21">
        <f t="shared" si="7"/>
        <v>1.1834791740209436E-2</v>
      </c>
      <c r="J43" s="21">
        <f t="shared" si="7"/>
        <v>9.5443410057874482E-3</v>
      </c>
      <c r="K43" s="21">
        <f t="shared" si="7"/>
        <v>8.7515310827323851E-3</v>
      </c>
      <c r="L43" s="21">
        <f>L42/L32</f>
        <v>9.0196016271014111E-3</v>
      </c>
    </row>
    <row r="44" spans="2:12" outlineLevel="1" x14ac:dyDescent="0.3">
      <c r="B44" s="22" t="s">
        <v>90</v>
      </c>
      <c r="C44" s="22">
        <f>C40-C42</f>
        <v>9729.41</v>
      </c>
      <c r="D44" s="22">
        <f t="shared" ref="D44:L44" si="8">D40-D42</f>
        <v>9880.18</v>
      </c>
      <c r="E44" s="22">
        <f t="shared" si="8"/>
        <v>10633.980000000001</v>
      </c>
      <c r="F44" s="22">
        <f t="shared" si="8"/>
        <v>11849.46</v>
      </c>
      <c r="G44" s="22">
        <f t="shared" si="8"/>
        <v>20442.219999999998</v>
      </c>
      <c r="H44" s="22">
        <f t="shared" si="8"/>
        <v>18002.84</v>
      </c>
      <c r="I44" s="22">
        <f t="shared" si="8"/>
        <v>22875.980000000007</v>
      </c>
      <c r="J44" s="22">
        <f t="shared" si="8"/>
        <v>34776.160000000003</v>
      </c>
      <c r="K44" s="22">
        <f t="shared" si="8"/>
        <v>41678.31</v>
      </c>
      <c r="L44" s="22">
        <f t="shared" si="8"/>
        <v>46185.109999999986</v>
      </c>
    </row>
    <row r="45" spans="2:12" outlineLevel="1" x14ac:dyDescent="0.3">
      <c r="B45" s="22" t="s">
        <v>86</v>
      </c>
      <c r="C45" s="23">
        <f>C44/C32</f>
        <v>0.60660119382363986</v>
      </c>
      <c r="D45" s="23">
        <f t="shared" ref="D45:L45" si="9">D44/D32</f>
        <v>0.57727112318086959</v>
      </c>
      <c r="E45" s="23">
        <f t="shared" si="9"/>
        <v>0.55437111551105567</v>
      </c>
      <c r="F45" s="23">
        <f t="shared" si="9"/>
        <v>0.55367996680572373</v>
      </c>
      <c r="G45" s="23">
        <f t="shared" si="9"/>
        <v>0.52271090782262886</v>
      </c>
      <c r="H45" s="23">
        <f t="shared" si="9"/>
        <v>0.46293551502708774</v>
      </c>
      <c r="I45" s="23">
        <f t="shared" si="9"/>
        <v>0.50852281063355131</v>
      </c>
      <c r="J45" s="23">
        <f t="shared" si="9"/>
        <v>0.62491156740562803</v>
      </c>
      <c r="K45" s="23">
        <f t="shared" si="9"/>
        <v>0.67180356105786265</v>
      </c>
      <c r="L45" s="23">
        <f t="shared" si="9"/>
        <v>0.68418239546670412</v>
      </c>
    </row>
    <row r="46" spans="2:12" outlineLevel="1" x14ac:dyDescent="0.3">
      <c r="B46" t="s">
        <v>32</v>
      </c>
      <c r="C46">
        <f>'Data Sheet'!B25</f>
        <v>2222.4</v>
      </c>
      <c r="D46">
        <f>'Data Sheet'!C25</f>
        <v>2416.59</v>
      </c>
      <c r="E46">
        <f>'Data Sheet'!D25</f>
        <v>1891.44</v>
      </c>
      <c r="F46">
        <f>'Data Sheet'!E25</f>
        <v>3325.5</v>
      </c>
      <c r="G46">
        <f>'Data Sheet'!F25</f>
        <v>6111.4</v>
      </c>
      <c r="H46">
        <f>'Data Sheet'!G25</f>
        <v>7379.71</v>
      </c>
      <c r="I46">
        <f>'Data Sheet'!H25</f>
        <v>7804.5</v>
      </c>
      <c r="J46">
        <f>'Data Sheet'!I25</f>
        <v>8581.9500000000007</v>
      </c>
      <c r="K46">
        <f>'Data Sheet'!J25</f>
        <v>10011.450000000001</v>
      </c>
      <c r="L46">
        <f>'Data Sheet'!K25</f>
        <v>10828.61</v>
      </c>
    </row>
    <row r="47" spans="2:12" outlineLevel="1" x14ac:dyDescent="0.3">
      <c r="B47" t="s">
        <v>30</v>
      </c>
      <c r="C47">
        <f>'Data Sheet'!B27</f>
        <v>10891.46</v>
      </c>
      <c r="D47">
        <f>'Data Sheet'!C27</f>
        <v>10851.28</v>
      </c>
      <c r="E47">
        <f>'Data Sheet'!D27</f>
        <v>12166.75</v>
      </c>
      <c r="F47">
        <f>'Data Sheet'!E27</f>
        <v>13797.51</v>
      </c>
      <c r="G47">
        <f>'Data Sheet'!F27</f>
        <v>23438.799999999999</v>
      </c>
      <c r="H47">
        <f>'Data Sheet'!G27</f>
        <v>22129.25</v>
      </c>
      <c r="I47">
        <f>'Data Sheet'!H27</f>
        <v>24717.29</v>
      </c>
      <c r="J47">
        <f>'Data Sheet'!I27</f>
        <v>32340.76</v>
      </c>
      <c r="K47">
        <f>'Data Sheet'!J27</f>
        <v>36826.25</v>
      </c>
      <c r="L47">
        <f>'Data Sheet'!K27</f>
        <v>40538.660000000003</v>
      </c>
    </row>
    <row r="48" spans="2:12" outlineLevel="1" x14ac:dyDescent="0.3">
      <c r="B48" t="s">
        <v>91</v>
      </c>
      <c r="C48" s="21">
        <f>C47/'Data Sheet'!B59</f>
        <v>5.5820168962273028E-2</v>
      </c>
      <c r="D48" s="21">
        <f>D47/'Data Sheet'!C59</f>
        <v>4.7588745611278349E-2</v>
      </c>
      <c r="E48" s="21">
        <f>E47/'Data Sheet'!D59</f>
        <v>4.7866981899401813E-2</v>
      </c>
      <c r="F48" s="21">
        <f>F47/'Data Sheet'!E59</f>
        <v>4.9098888809059139E-2</v>
      </c>
      <c r="G48" s="21">
        <f>G47/'Data Sheet'!F59</f>
        <v>4.1647315990685524E-2</v>
      </c>
      <c r="H48" s="21">
        <f>H47/'Data Sheet'!G59</f>
        <v>3.6230632408866967E-2</v>
      </c>
      <c r="I48" s="21">
        <f>I47/'Data Sheet'!H59</f>
        <v>3.8427687510401841E-2</v>
      </c>
      <c r="J48" s="21">
        <f>J47/'Data Sheet'!I59</f>
        <v>4.5480163401296264E-2</v>
      </c>
      <c r="K48" s="21">
        <f>K47/'Data Sheet'!J59</f>
        <v>4.7294960093912208E-2</v>
      </c>
      <c r="L48" s="21">
        <f>L47/'Data Sheet'!K59</f>
        <v>4.6358476216274959E-2</v>
      </c>
    </row>
    <row r="49" spans="2:12" outlineLevel="1" x14ac:dyDescent="0.3">
      <c r="B49" s="22" t="s">
        <v>92</v>
      </c>
      <c r="C49" s="22">
        <f>C44+C46-C47</f>
        <v>1060.3500000000004</v>
      </c>
      <c r="D49" s="22">
        <f t="shared" ref="D49:L49" si="10">D44+D46-D47</f>
        <v>1445.4899999999998</v>
      </c>
      <c r="E49" s="22">
        <f t="shared" si="10"/>
        <v>358.67000000000189</v>
      </c>
      <c r="F49" s="22">
        <f t="shared" si="10"/>
        <v>1377.4499999999989</v>
      </c>
      <c r="G49" s="22">
        <f t="shared" si="10"/>
        <v>3114.8199999999961</v>
      </c>
      <c r="H49" s="22">
        <f t="shared" si="10"/>
        <v>3253.2999999999993</v>
      </c>
      <c r="I49" s="22">
        <f t="shared" si="10"/>
        <v>5963.190000000006</v>
      </c>
      <c r="J49" s="22">
        <f t="shared" si="10"/>
        <v>11017.350000000002</v>
      </c>
      <c r="K49" s="22">
        <f t="shared" si="10"/>
        <v>14863.509999999995</v>
      </c>
      <c r="L49" s="22">
        <f t="shared" si="10"/>
        <v>16475.059999999983</v>
      </c>
    </row>
    <row r="50" spans="2:12" outlineLevel="1" x14ac:dyDescent="0.3">
      <c r="B50" s="22" t="s">
        <v>88</v>
      </c>
      <c r="C50" s="23">
        <f>C49/C32</f>
        <v>6.6109823295646575E-2</v>
      </c>
      <c r="D50" s="23">
        <f t="shared" ref="D50:L50" si="11">D49/D32</f>
        <v>8.4455914350418215E-2</v>
      </c>
      <c r="E50" s="23">
        <f t="shared" si="11"/>
        <v>1.8698200297569807E-2</v>
      </c>
      <c r="F50" s="23">
        <f t="shared" si="11"/>
        <v>6.436297268200776E-2</v>
      </c>
      <c r="G50" s="23">
        <f t="shared" si="11"/>
        <v>7.9646456691302561E-2</v>
      </c>
      <c r="H50" s="23">
        <f t="shared" si="11"/>
        <v>8.3657251357987086E-2</v>
      </c>
      <c r="I50" s="23">
        <f t="shared" si="11"/>
        <v>0.13255904836172652</v>
      </c>
      <c r="J50" s="23">
        <f t="shared" si="11"/>
        <v>0.19797670177375526</v>
      </c>
      <c r="K50" s="23">
        <f t="shared" si="11"/>
        <v>0.23958166604689946</v>
      </c>
      <c r="L50" s="23">
        <f t="shared" si="11"/>
        <v>0.24406017472422759</v>
      </c>
    </row>
    <row r="51" spans="2:12" outlineLevel="1" x14ac:dyDescent="0.3">
      <c r="B51" t="s">
        <v>28</v>
      </c>
      <c r="C51">
        <f>'Data Sheet'!B29</f>
        <v>-352.56</v>
      </c>
      <c r="D51">
        <f>'Data Sheet'!C29</f>
        <v>182.57</v>
      </c>
      <c r="E51">
        <f>'Data Sheet'!D29</f>
        <v>37.74</v>
      </c>
      <c r="F51">
        <f>'Data Sheet'!E29</f>
        <v>619.37</v>
      </c>
      <c r="G51">
        <f>'Data Sheet'!F29</f>
        <v>99.1</v>
      </c>
      <c r="H51">
        <f>'Data Sheet'!G29</f>
        <v>-740.59</v>
      </c>
      <c r="I51">
        <f>'Data Sheet'!H29</f>
        <v>632.71</v>
      </c>
      <c r="J51">
        <f>'Data Sheet'!I29</f>
        <v>2888.2</v>
      </c>
      <c r="K51">
        <f>'Data Sheet'!J29</f>
        <v>3868.64</v>
      </c>
      <c r="L51">
        <f>'Data Sheet'!K29</f>
        <v>4248.07</v>
      </c>
    </row>
    <row r="52" spans="2:12" outlineLevel="1" x14ac:dyDescent="0.3">
      <c r="B52" t="s">
        <v>88</v>
      </c>
      <c r="C52" s="21">
        <f>C51/C49</f>
        <v>-0.33249398783420558</v>
      </c>
      <c r="D52" s="21">
        <f t="shared" ref="D52:L52" si="12">D51/D49</f>
        <v>0.12630319130537052</v>
      </c>
      <c r="E52" s="21">
        <f t="shared" si="12"/>
        <v>0.10522207042685422</v>
      </c>
      <c r="F52" s="21">
        <f t="shared" si="12"/>
        <v>0.44964971505317836</v>
      </c>
      <c r="G52" s="21">
        <f t="shared" si="12"/>
        <v>3.1815642637455815E-2</v>
      </c>
      <c r="H52" s="21">
        <f t="shared" si="12"/>
        <v>-0.22764270125718508</v>
      </c>
      <c r="I52" s="21">
        <f t="shared" si="12"/>
        <v>0.10610260615543013</v>
      </c>
      <c r="J52" s="21">
        <f t="shared" si="12"/>
        <v>0.26215015407516318</v>
      </c>
      <c r="K52" s="21">
        <f t="shared" si="12"/>
        <v>0.26027768676443191</v>
      </c>
      <c r="L52" s="21">
        <f t="shared" si="12"/>
        <v>0.25784852983843481</v>
      </c>
    </row>
    <row r="53" spans="2:12" outlineLevel="1" x14ac:dyDescent="0.3">
      <c r="B53" s="22" t="s">
        <v>93</v>
      </c>
      <c r="C53" s="22">
        <f t="shared" ref="C53:L53" si="13">C49-C51</f>
        <v>1412.9100000000003</v>
      </c>
      <c r="D53" s="22">
        <f t="shared" si="13"/>
        <v>1262.9199999999998</v>
      </c>
      <c r="E53" s="22">
        <f t="shared" si="13"/>
        <v>320.93000000000188</v>
      </c>
      <c r="F53" s="22">
        <f t="shared" si="13"/>
        <v>758.0799999999989</v>
      </c>
      <c r="G53" s="22">
        <f t="shared" si="13"/>
        <v>3015.7199999999962</v>
      </c>
      <c r="H53" s="22">
        <f t="shared" si="13"/>
        <v>3993.8899999999994</v>
      </c>
      <c r="I53" s="22">
        <f t="shared" si="13"/>
        <v>5330.4800000000059</v>
      </c>
      <c r="J53" s="22">
        <f t="shared" si="13"/>
        <v>8129.1500000000024</v>
      </c>
      <c r="K53" s="22">
        <f t="shared" si="13"/>
        <v>10994.869999999995</v>
      </c>
      <c r="L53" s="22">
        <f t="shared" si="13"/>
        <v>12226.989999999983</v>
      </c>
    </row>
    <row r="54" spans="2:12" outlineLevel="1" x14ac:dyDescent="0.3">
      <c r="B54" s="22" t="s">
        <v>88</v>
      </c>
      <c r="C54" s="23">
        <f>C53/C32</f>
        <v>8.8090942078230761E-2</v>
      </c>
      <c r="D54" s="23">
        <f t="shared" ref="D54:L54" si="14">D53/D32</f>
        <v>7.3788862843347361E-2</v>
      </c>
      <c r="E54" s="23">
        <f t="shared" si="14"/>
        <v>1.673073694900349E-2</v>
      </c>
      <c r="F54" s="23">
        <f t="shared" si="14"/>
        <v>3.5422180355567469E-2</v>
      </c>
      <c r="G54" s="23">
        <f t="shared" si="14"/>
        <v>7.7112453487872476E-2</v>
      </c>
      <c r="H54" s="23">
        <f t="shared" si="14"/>
        <v>0.10270121403687058</v>
      </c>
      <c r="I54" s="23">
        <f t="shared" si="14"/>
        <v>0.11849418786106364</v>
      </c>
      <c r="J54" s="23">
        <f t="shared" si="14"/>
        <v>0.1460770789004727</v>
      </c>
      <c r="K54" s="23">
        <f t="shared" si="14"/>
        <v>0.17722390421704382</v>
      </c>
      <c r="L54" s="23">
        <f t="shared" si="14"/>
        <v>0.18112961747947398</v>
      </c>
    </row>
    <row r="55" spans="2:12" outlineLevel="1" x14ac:dyDescent="0.3"/>
    <row r="57" spans="2:12" ht="31.2" x14ac:dyDescent="0.6">
      <c r="B57" s="64" t="s">
        <v>94</v>
      </c>
      <c r="C57" s="64"/>
      <c r="D57" s="64"/>
      <c r="E57" s="64"/>
      <c r="F57" s="64"/>
      <c r="G57" s="64"/>
      <c r="H57" s="64"/>
      <c r="I57" s="64"/>
      <c r="J57" s="64"/>
      <c r="K57" s="64"/>
      <c r="L57" s="64"/>
    </row>
    <row r="58" spans="2:12" outlineLevel="1" x14ac:dyDescent="0.3">
      <c r="B58" s="26" t="s">
        <v>81</v>
      </c>
      <c r="C58" s="26">
        <v>43190</v>
      </c>
      <c r="D58" s="26">
        <v>43555</v>
      </c>
      <c r="E58" s="26">
        <v>43921</v>
      </c>
      <c r="F58" s="26">
        <v>44286</v>
      </c>
      <c r="G58" s="26">
        <v>44651</v>
      </c>
      <c r="H58" s="26">
        <v>45016</v>
      </c>
      <c r="I58" s="26">
        <v>45382</v>
      </c>
      <c r="J58" s="26">
        <v>45747</v>
      </c>
      <c r="K58" s="26">
        <v>46112</v>
      </c>
      <c r="L58" s="26">
        <v>46112</v>
      </c>
    </row>
    <row r="59" spans="2:12" outlineLevel="1" x14ac:dyDescent="0.3">
      <c r="B59" t="s">
        <v>95</v>
      </c>
      <c r="C59">
        <f>'Data Sheet'!B57</f>
        <v>480.29</v>
      </c>
      <c r="D59">
        <f>'Data Sheet'!C57</f>
        <v>480.29</v>
      </c>
      <c r="E59">
        <f>'Data Sheet'!D57</f>
        <v>480.29</v>
      </c>
      <c r="F59">
        <f>'Data Sheet'!E57</f>
        <v>608.79999999999995</v>
      </c>
      <c r="G59">
        <f>'Data Sheet'!F57</f>
        <v>1129.3699999999999</v>
      </c>
      <c r="H59">
        <f>'Data Sheet'!G57</f>
        <v>1245.44</v>
      </c>
      <c r="I59">
        <f>'Data Sheet'!H57</f>
        <v>1245.44</v>
      </c>
      <c r="J59">
        <f>'Data Sheet'!I57</f>
        <v>1346.96</v>
      </c>
      <c r="K59">
        <f>'Data Sheet'!J57</f>
        <v>1346.96</v>
      </c>
      <c r="L59">
        <f>'Data Sheet'!K57</f>
        <v>1346.96</v>
      </c>
    </row>
    <row r="60" spans="2:12" outlineLevel="1" x14ac:dyDescent="0.3">
      <c r="B60" t="s">
        <v>22</v>
      </c>
      <c r="C60">
        <f>'Data Sheet'!B58</f>
        <v>16953.55</v>
      </c>
      <c r="D60">
        <f>'Data Sheet'!C58</f>
        <v>18235.150000000001</v>
      </c>
      <c r="E60">
        <f>'Data Sheet'!D58</f>
        <v>19235.169999999998</v>
      </c>
      <c r="F60">
        <f>'Data Sheet'!E58</f>
        <v>22158.78</v>
      </c>
      <c r="G60">
        <f>'Data Sheet'!F58</f>
        <v>38328.699999999997</v>
      </c>
      <c r="H60">
        <f>'Data Sheet'!G58</f>
        <v>43706.49</v>
      </c>
      <c r="I60">
        <f>'Data Sheet'!H58</f>
        <v>48261.38</v>
      </c>
      <c r="J60">
        <f>'Data Sheet'!I58</f>
        <v>58901.24</v>
      </c>
      <c r="K60">
        <f>'Data Sheet'!J58</f>
        <v>70165.95</v>
      </c>
      <c r="L60">
        <f>'Data Sheet'!K58</f>
        <v>78695.92</v>
      </c>
    </row>
    <row r="61" spans="2:12" outlineLevel="1" x14ac:dyDescent="0.3">
      <c r="B61" t="s">
        <v>21</v>
      </c>
      <c r="C61">
        <f>'Data Sheet'!B59</f>
        <v>195116.93</v>
      </c>
      <c r="D61">
        <f>'Data Sheet'!C59</f>
        <v>228021.98</v>
      </c>
      <c r="E61">
        <f>'Data Sheet'!D59</f>
        <v>254178.34</v>
      </c>
      <c r="F61">
        <f>'Data Sheet'!E59</f>
        <v>281014.71000000002</v>
      </c>
      <c r="G61">
        <f>'Data Sheet'!F59</f>
        <v>562792.56999999995</v>
      </c>
      <c r="H61">
        <f>'Data Sheet'!G59</f>
        <v>610788.4</v>
      </c>
      <c r="I61">
        <f>'Data Sheet'!H59</f>
        <v>643215.65</v>
      </c>
      <c r="J61">
        <f>'Data Sheet'!I59</f>
        <v>711095.95</v>
      </c>
      <c r="K61">
        <f>'Data Sheet'!J59</f>
        <v>778650.62</v>
      </c>
      <c r="L61">
        <f>'Data Sheet'!K59</f>
        <v>874460.58</v>
      </c>
    </row>
    <row r="62" spans="2:12" outlineLevel="1" x14ac:dyDescent="0.3">
      <c r="B62" t="s">
        <v>20</v>
      </c>
      <c r="C62">
        <f>'Data Sheet'!B60</f>
        <v>5956.67</v>
      </c>
      <c r="D62">
        <f>'Data Sheet'!C60</f>
        <v>6243.99</v>
      </c>
      <c r="E62">
        <f>'Data Sheet'!D60</f>
        <v>6494.48</v>
      </c>
      <c r="F62">
        <f>'Data Sheet'!E60</f>
        <v>6358.67</v>
      </c>
      <c r="G62">
        <f>'Data Sheet'!F60</f>
        <v>23284.53</v>
      </c>
      <c r="H62">
        <f>'Data Sheet'!G60</f>
        <v>18356.099999999999</v>
      </c>
      <c r="I62">
        <f>'Data Sheet'!H60</f>
        <v>20611.53</v>
      </c>
      <c r="J62">
        <f>'Data Sheet'!I60</f>
        <v>24364.67</v>
      </c>
      <c r="K62">
        <f>'Data Sheet'!J60</f>
        <v>26875.07</v>
      </c>
      <c r="L62">
        <f>'Data Sheet'!K60</f>
        <v>37049.33</v>
      </c>
    </row>
    <row r="63" spans="2:12" outlineLevel="1" x14ac:dyDescent="0.3">
      <c r="B63" s="24" t="s">
        <v>15</v>
      </c>
      <c r="C63" s="25">
        <f t="shared" ref="C63:L63" si="15">SUM(C59:C62)</f>
        <v>218507.44</v>
      </c>
      <c r="D63" s="25">
        <f t="shared" si="15"/>
        <v>252981.41</v>
      </c>
      <c r="E63" s="25">
        <f t="shared" si="15"/>
        <v>280388.27999999997</v>
      </c>
      <c r="F63" s="25">
        <f t="shared" si="15"/>
        <v>310140.96000000002</v>
      </c>
      <c r="G63" s="25">
        <f t="shared" si="15"/>
        <v>625535.16999999993</v>
      </c>
      <c r="H63" s="25">
        <f t="shared" si="15"/>
        <v>674096.43</v>
      </c>
      <c r="I63" s="25">
        <f t="shared" si="15"/>
        <v>713334</v>
      </c>
      <c r="J63" s="25">
        <f t="shared" si="15"/>
        <v>795708.82</v>
      </c>
      <c r="K63" s="25">
        <f t="shared" si="15"/>
        <v>877038.6</v>
      </c>
      <c r="L63" s="25">
        <f t="shared" si="15"/>
        <v>991552.78999999992</v>
      </c>
    </row>
    <row r="64" spans="2:12" outlineLevel="1" x14ac:dyDescent="0.3">
      <c r="B64" s="5" t="s">
        <v>19</v>
      </c>
      <c r="C64">
        <f>'Data Sheet'!B62</f>
        <v>3436.04</v>
      </c>
      <c r="D64">
        <f>'Data Sheet'!C62</f>
        <v>3421.47</v>
      </c>
      <c r="E64">
        <f>'Data Sheet'!D62</f>
        <v>3964.23</v>
      </c>
      <c r="F64">
        <f>'Data Sheet'!E62</f>
        <v>3898.3</v>
      </c>
      <c r="G64">
        <f>'Data Sheet'!F62</f>
        <v>7392.13</v>
      </c>
      <c r="H64">
        <f>'Data Sheet'!G62</f>
        <v>7693.78</v>
      </c>
      <c r="I64">
        <f>'Data Sheet'!H62</f>
        <v>7471.6</v>
      </c>
      <c r="J64">
        <f>'Data Sheet'!I62</f>
        <v>7537.62</v>
      </c>
      <c r="K64">
        <f>'Data Sheet'!J62</f>
        <v>8854.3799999999992</v>
      </c>
      <c r="L64">
        <f>'Data Sheet'!K62</f>
        <v>8674</v>
      </c>
    </row>
    <row r="65" spans="2:12" outlineLevel="1" x14ac:dyDescent="0.3">
      <c r="B65" s="5" t="s">
        <v>18</v>
      </c>
      <c r="C65">
        <f>'Data Sheet'!B63</f>
        <v>10.64</v>
      </c>
      <c r="D65">
        <f>'Data Sheet'!C63</f>
        <v>0.61</v>
      </c>
      <c r="E65">
        <f>'Data Sheet'!D63</f>
        <v>0.76</v>
      </c>
      <c r="F65">
        <f>'Data Sheet'!E63</f>
        <v>0.78</v>
      </c>
      <c r="G65">
        <f>'Data Sheet'!F63</f>
        <v>0.43</v>
      </c>
      <c r="H65">
        <f>'Data Sheet'!G63</f>
        <v>5.13</v>
      </c>
      <c r="I65">
        <f>'Data Sheet'!H63</f>
        <v>9.07</v>
      </c>
      <c r="J65">
        <f>'Data Sheet'!I63</f>
        <v>2.2799999999999998</v>
      </c>
      <c r="K65">
        <f>'Data Sheet'!J63</f>
        <v>2.95</v>
      </c>
      <c r="L65">
        <f>'Data Sheet'!K63</f>
        <v>2.81</v>
      </c>
    </row>
    <row r="66" spans="2:12" outlineLevel="1" x14ac:dyDescent="0.3">
      <c r="B66" s="5" t="s">
        <v>17</v>
      </c>
      <c r="C66">
        <f>'Data Sheet'!B64</f>
        <v>67781.19</v>
      </c>
      <c r="D66">
        <f>'Data Sheet'!C64</f>
        <v>71619.14</v>
      </c>
      <c r="E66">
        <f>'Data Sheet'!D64</f>
        <v>65271.55</v>
      </c>
      <c r="F66">
        <f>'Data Sheet'!E64</f>
        <v>81871.16</v>
      </c>
      <c r="G66">
        <f>'Data Sheet'!F64</f>
        <v>178292.44</v>
      </c>
      <c r="H66">
        <f>'Data Sheet'!G64</f>
        <v>176501.61</v>
      </c>
      <c r="I66">
        <f>'Data Sheet'!H64</f>
        <v>188366.28</v>
      </c>
      <c r="J66">
        <f>'Data Sheet'!I64</f>
        <v>215241.82</v>
      </c>
      <c r="K66">
        <f>'Data Sheet'!J64</f>
        <v>228420.86</v>
      </c>
      <c r="L66">
        <f>'Data Sheet'!K64</f>
        <v>247682.04</v>
      </c>
    </row>
    <row r="67" spans="2:12" outlineLevel="1" x14ac:dyDescent="0.3">
      <c r="B67" s="5" t="s">
        <v>16</v>
      </c>
      <c r="C67" s="4">
        <v>147279.57</v>
      </c>
      <c r="D67" s="4">
        <v>177940.19</v>
      </c>
      <c r="E67" s="4">
        <v>211151.74</v>
      </c>
      <c r="F67" s="4">
        <v>224370.72</v>
      </c>
      <c r="G67" s="4">
        <v>439850.17</v>
      </c>
      <c r="H67" s="4">
        <v>489895.91</v>
      </c>
      <c r="I67" s="4">
        <v>517487.05</v>
      </c>
      <c r="J67" s="4">
        <v>572927.1</v>
      </c>
      <c r="K67" s="4">
        <v>639760.41</v>
      </c>
      <c r="L67" s="4">
        <v>735193.94</v>
      </c>
    </row>
    <row r="68" spans="2:12" outlineLevel="1" x14ac:dyDescent="0.3">
      <c r="B68" s="28" t="s">
        <v>15</v>
      </c>
      <c r="C68" s="29">
        <f t="shared" ref="C68:L68" ca="1" si="16">SUM(C64:C68)</f>
        <v>218507.44</v>
      </c>
      <c r="D68" s="29">
        <f t="shared" ca="1" si="16"/>
        <v>252981.41</v>
      </c>
      <c r="E68" s="29">
        <f t="shared" ca="1" si="16"/>
        <v>280388.28000000003</v>
      </c>
      <c r="F68" s="29">
        <f t="shared" ca="1" si="16"/>
        <v>310140.96000000002</v>
      </c>
      <c r="G68" s="29">
        <f t="shared" ca="1" si="16"/>
        <v>625535.16999999993</v>
      </c>
      <c r="H68" s="29">
        <f t="shared" ca="1" si="16"/>
        <v>674096.42999999993</v>
      </c>
      <c r="I68" s="29">
        <f t="shared" ca="1" si="16"/>
        <v>713334</v>
      </c>
      <c r="J68" s="29">
        <f t="shared" ca="1" si="16"/>
        <v>795708.82</v>
      </c>
      <c r="K68" s="29">
        <f t="shared" ca="1" si="16"/>
        <v>877038.6</v>
      </c>
      <c r="L68" s="29">
        <f t="shared" ca="1" si="16"/>
        <v>991552.78999999992</v>
      </c>
    </row>
    <row r="69" spans="2:12" outlineLevel="1" x14ac:dyDescent="0.3"/>
    <row r="72" spans="2:12" ht="31.2" x14ac:dyDescent="0.6">
      <c r="B72" s="64" t="s">
        <v>97</v>
      </c>
      <c r="C72" s="64"/>
      <c r="D72" s="64"/>
      <c r="E72" s="64"/>
      <c r="F72" s="64"/>
      <c r="G72" s="64"/>
      <c r="H72" s="64"/>
      <c r="I72" s="64"/>
      <c r="J72" s="64"/>
      <c r="K72" s="64"/>
      <c r="L72" s="64"/>
    </row>
    <row r="73" spans="2:12" outlineLevel="1" x14ac:dyDescent="0.3">
      <c r="B73" s="26" t="s">
        <v>98</v>
      </c>
      <c r="C73" s="26">
        <v>46112</v>
      </c>
      <c r="D73" s="26">
        <v>46477</v>
      </c>
      <c r="E73" s="26">
        <v>46843</v>
      </c>
      <c r="F73" s="26">
        <v>47208</v>
      </c>
      <c r="G73" s="26">
        <v>47573</v>
      </c>
      <c r="H73" s="26">
        <v>47938</v>
      </c>
      <c r="I73" s="26">
        <v>48304</v>
      </c>
      <c r="J73" s="26">
        <v>48669</v>
      </c>
      <c r="K73" s="26">
        <v>49034</v>
      </c>
      <c r="L73" s="26">
        <v>49399</v>
      </c>
    </row>
    <row r="74" spans="2:12" outlineLevel="1" x14ac:dyDescent="0.3">
      <c r="B74" t="s">
        <v>99</v>
      </c>
      <c r="C74" s="17" cm="1">
        <f t="array" ref="C74:L74">CHOOSE(D76,C77:L77,C78:L78,C79:L79)</f>
        <v>0.2</v>
      </c>
      <c r="D74" s="17">
        <v>0.18000000000000002</v>
      </c>
      <c r="E74" s="17">
        <v>0.16000000000000003</v>
      </c>
      <c r="F74" s="17">
        <v>0.14000000000000004</v>
      </c>
      <c r="G74" s="17">
        <v>0.12000000000000004</v>
      </c>
      <c r="H74" s="17">
        <v>0.10000000000000003</v>
      </c>
      <c r="I74" s="17">
        <v>8.0000000000000029E-2</v>
      </c>
      <c r="J74" s="17">
        <v>6.0000000000000026E-2</v>
      </c>
      <c r="K74" s="17">
        <v>4.0000000000000022E-2</v>
      </c>
      <c r="L74" s="17">
        <v>2.0000000000000021E-2</v>
      </c>
    </row>
    <row r="75" spans="2:12" outlineLevel="1" x14ac:dyDescent="0.3">
      <c r="B75" t="s">
        <v>100</v>
      </c>
      <c r="C75">
        <f>L32*(1+C74)</f>
        <v>81004.907999999996</v>
      </c>
      <c r="D75">
        <f>C75*(1+D74)</f>
        <v>95585.791439999986</v>
      </c>
      <c r="E75">
        <f t="shared" ref="E75:L75" si="17">D75*(1+E74)</f>
        <v>110879.51807039999</v>
      </c>
      <c r="F75">
        <f t="shared" si="17"/>
        <v>126402.65060025601</v>
      </c>
      <c r="G75">
        <f t="shared" si="17"/>
        <v>141570.96867228675</v>
      </c>
      <c r="H75">
        <f t="shared" si="17"/>
        <v>155728.06553951543</v>
      </c>
      <c r="I75">
        <f t="shared" si="17"/>
        <v>168186.31078267668</v>
      </c>
      <c r="J75">
        <f t="shared" si="17"/>
        <v>178277.48942963729</v>
      </c>
      <c r="K75">
        <f t="shared" si="17"/>
        <v>185408.58900682279</v>
      </c>
      <c r="L75">
        <f t="shared" si="17"/>
        <v>189116.76078695926</v>
      </c>
    </row>
    <row r="76" spans="2:12" outlineLevel="1" x14ac:dyDescent="0.3">
      <c r="B76" t="s">
        <v>101</v>
      </c>
      <c r="C76" s="32" t="s">
        <v>102</v>
      </c>
      <c r="D76" s="31">
        <f>MATCH(C76,B77:B79,0)</f>
        <v>1</v>
      </c>
    </row>
    <row r="77" spans="2:12" outlineLevel="1" x14ac:dyDescent="0.3">
      <c r="B77" t="s">
        <v>102</v>
      </c>
      <c r="C77" s="17">
        <f>C20</f>
        <v>0.2</v>
      </c>
      <c r="D77" s="17">
        <f t="shared" ref="D77:L77" si="18">C77-Taper_rate</f>
        <v>0.18000000000000002</v>
      </c>
      <c r="E77" s="17">
        <f t="shared" si="18"/>
        <v>0.16000000000000003</v>
      </c>
      <c r="F77" s="17">
        <f t="shared" si="18"/>
        <v>0.14000000000000004</v>
      </c>
      <c r="G77" s="17">
        <f t="shared" si="18"/>
        <v>0.12000000000000004</v>
      </c>
      <c r="H77" s="17">
        <f t="shared" si="18"/>
        <v>0.10000000000000003</v>
      </c>
      <c r="I77" s="17">
        <f t="shared" si="18"/>
        <v>8.0000000000000029E-2</v>
      </c>
      <c r="J77" s="17">
        <f t="shared" si="18"/>
        <v>6.0000000000000026E-2</v>
      </c>
      <c r="K77" s="17">
        <f t="shared" si="18"/>
        <v>4.0000000000000022E-2</v>
      </c>
      <c r="L77" s="17">
        <f t="shared" si="18"/>
        <v>2.0000000000000021E-2</v>
      </c>
    </row>
    <row r="78" spans="2:12" outlineLevel="1" x14ac:dyDescent="0.3">
      <c r="B78" t="s">
        <v>103</v>
      </c>
      <c r="C78" s="17">
        <f>C77+5%</f>
        <v>0.25</v>
      </c>
      <c r="D78" s="17">
        <f t="shared" ref="D78:L78" si="19">C78-Taper_rate</f>
        <v>0.23</v>
      </c>
      <c r="E78" s="17">
        <f t="shared" si="19"/>
        <v>0.21000000000000002</v>
      </c>
      <c r="F78" s="17">
        <f t="shared" si="19"/>
        <v>0.19000000000000003</v>
      </c>
      <c r="G78" s="17">
        <f t="shared" si="19"/>
        <v>0.17000000000000004</v>
      </c>
      <c r="H78" s="17">
        <f t="shared" si="19"/>
        <v>0.15000000000000005</v>
      </c>
      <c r="I78" s="17">
        <f t="shared" si="19"/>
        <v>0.13000000000000006</v>
      </c>
      <c r="J78" s="17">
        <f t="shared" si="19"/>
        <v>0.11000000000000006</v>
      </c>
      <c r="K78" s="17">
        <f t="shared" si="19"/>
        <v>9.0000000000000052E-2</v>
      </c>
      <c r="L78" s="17">
        <f t="shared" si="19"/>
        <v>7.0000000000000048E-2</v>
      </c>
    </row>
    <row r="79" spans="2:12" outlineLevel="1" x14ac:dyDescent="0.3">
      <c r="B79" t="s">
        <v>104</v>
      </c>
      <c r="C79" s="17">
        <f>C77-5%</f>
        <v>0.15000000000000002</v>
      </c>
      <c r="D79" s="17">
        <f t="shared" ref="D79:L79" si="20">C79-Taper_rate</f>
        <v>0.13000000000000003</v>
      </c>
      <c r="E79" s="17">
        <f t="shared" si="20"/>
        <v>0.11000000000000003</v>
      </c>
      <c r="F79" s="17">
        <f t="shared" si="20"/>
        <v>9.0000000000000024E-2</v>
      </c>
      <c r="G79" s="17">
        <f t="shared" si="20"/>
        <v>7.0000000000000021E-2</v>
      </c>
      <c r="H79" s="17">
        <f t="shared" si="20"/>
        <v>5.0000000000000017E-2</v>
      </c>
      <c r="I79" s="17">
        <f t="shared" si="20"/>
        <v>3.0000000000000016E-2</v>
      </c>
      <c r="J79" s="17">
        <f t="shared" si="20"/>
        <v>1.0000000000000016E-2</v>
      </c>
      <c r="K79" s="17">
        <f t="shared" si="20"/>
        <v>-9.9999999999999846E-3</v>
      </c>
      <c r="L79" s="17">
        <f t="shared" si="20"/>
        <v>-2.9999999999999985E-2</v>
      </c>
    </row>
    <row r="80" spans="2:12" outlineLevel="1" x14ac:dyDescent="0.3"/>
    <row r="82" spans="2:12" ht="31.2" x14ac:dyDescent="0.6">
      <c r="B82" s="64" t="s">
        <v>105</v>
      </c>
      <c r="C82" s="64"/>
      <c r="D82" s="64"/>
      <c r="E82" s="64"/>
      <c r="F82" s="64"/>
      <c r="G82" s="64"/>
      <c r="H82" s="64"/>
      <c r="I82" s="64"/>
      <c r="J82" s="64"/>
      <c r="K82" s="64"/>
      <c r="L82" s="64"/>
    </row>
    <row r="83" spans="2:12" outlineLevel="1" x14ac:dyDescent="0.3">
      <c r="B83" s="26" t="s">
        <v>81</v>
      </c>
      <c r="C83" s="26">
        <v>46112</v>
      </c>
      <c r="D83" s="26">
        <v>46477</v>
      </c>
      <c r="E83" s="26">
        <v>46843</v>
      </c>
      <c r="F83" s="26">
        <v>47208</v>
      </c>
      <c r="G83" s="26">
        <v>47573</v>
      </c>
      <c r="H83" s="26">
        <v>47938</v>
      </c>
      <c r="I83" s="26">
        <v>48304</v>
      </c>
      <c r="J83" s="26">
        <v>48669</v>
      </c>
      <c r="K83" s="26">
        <v>49034</v>
      </c>
      <c r="L83" s="26">
        <v>49399</v>
      </c>
    </row>
    <row r="84" spans="2:12" outlineLevel="1" x14ac:dyDescent="0.3">
      <c r="B84" t="s">
        <v>106</v>
      </c>
      <c r="C84">
        <f>C75</f>
        <v>81004.907999999996</v>
      </c>
      <c r="D84">
        <f t="shared" ref="D84:L84" si="21">D75</f>
        <v>95585.791439999986</v>
      </c>
      <c r="E84">
        <f t="shared" si="21"/>
        <v>110879.51807039999</v>
      </c>
      <c r="F84">
        <f t="shared" si="21"/>
        <v>126402.65060025601</v>
      </c>
      <c r="G84">
        <f t="shared" si="21"/>
        <v>141570.96867228675</v>
      </c>
      <c r="H84">
        <f t="shared" si="21"/>
        <v>155728.06553951543</v>
      </c>
      <c r="I84">
        <f t="shared" si="21"/>
        <v>168186.31078267668</v>
      </c>
      <c r="J84">
        <f t="shared" si="21"/>
        <v>178277.48942963729</v>
      </c>
      <c r="K84">
        <f t="shared" si="21"/>
        <v>185408.58900682279</v>
      </c>
      <c r="L84">
        <f t="shared" si="21"/>
        <v>189116.76078695926</v>
      </c>
    </row>
    <row r="85" spans="2:12" outlineLevel="1" x14ac:dyDescent="0.3">
      <c r="B85" t="s">
        <v>107</v>
      </c>
      <c r="C85" s="18">
        <f>L41</f>
        <v>0.69320199709380559</v>
      </c>
      <c r="D85" s="18">
        <f>C85</f>
        <v>0.69320199709380559</v>
      </c>
      <c r="E85" s="18">
        <f t="shared" ref="E85:L85" si="22">D85</f>
        <v>0.69320199709380559</v>
      </c>
      <c r="F85" s="18">
        <f t="shared" si="22"/>
        <v>0.69320199709380559</v>
      </c>
      <c r="G85" s="18">
        <f t="shared" si="22"/>
        <v>0.69320199709380559</v>
      </c>
      <c r="H85" s="18">
        <f t="shared" si="22"/>
        <v>0.69320199709380559</v>
      </c>
      <c r="I85" s="18">
        <f t="shared" si="22"/>
        <v>0.69320199709380559</v>
      </c>
      <c r="J85" s="18">
        <f t="shared" si="22"/>
        <v>0.69320199709380559</v>
      </c>
      <c r="K85" s="18">
        <f t="shared" si="22"/>
        <v>0.69320199709380559</v>
      </c>
      <c r="L85" s="18">
        <f t="shared" si="22"/>
        <v>0.69320199709380559</v>
      </c>
    </row>
    <row r="86" spans="2:12" outlineLevel="1" x14ac:dyDescent="0.3">
      <c r="B86" t="s">
        <v>25</v>
      </c>
      <c r="C86">
        <f>C84*C85</f>
        <v>56152.763999999988</v>
      </c>
      <c r="D86">
        <f t="shared" ref="D86:L86" si="23">D84*D85</f>
        <v>66260.261519999971</v>
      </c>
      <c r="E86">
        <f t="shared" si="23"/>
        <v>76861.903363199977</v>
      </c>
      <c r="F86">
        <f t="shared" si="23"/>
        <v>87622.569834047987</v>
      </c>
      <c r="G86">
        <f t="shared" si="23"/>
        <v>98137.278214133767</v>
      </c>
      <c r="H86">
        <f t="shared" si="23"/>
        <v>107951.00603554714</v>
      </c>
      <c r="I86">
        <f t="shared" si="23"/>
        <v>116587.08651839092</v>
      </c>
      <c r="J86">
        <f t="shared" si="23"/>
        <v>123582.31170949439</v>
      </c>
      <c r="K86">
        <f t="shared" si="23"/>
        <v>128525.60417787416</v>
      </c>
      <c r="L86">
        <f t="shared" si="23"/>
        <v>131096.11626143166</v>
      </c>
    </row>
    <row r="87" spans="2:12" outlineLevel="1" x14ac:dyDescent="0.3">
      <c r="B87" t="s">
        <v>108</v>
      </c>
      <c r="C87" s="27">
        <f>C84*AVERAGE($C$43:$L$43)</f>
        <v>998.62089140485637</v>
      </c>
      <c r="D87" s="27">
        <f t="shared" ref="D87:L87" si="24">D84*AVERAGE($C$43:$L$43)</f>
        <v>1178.3726518577305</v>
      </c>
      <c r="E87" s="27">
        <f t="shared" si="24"/>
        <v>1366.9122761549675</v>
      </c>
      <c r="F87" s="27">
        <f t="shared" si="24"/>
        <v>1558.279994816663</v>
      </c>
      <c r="G87" s="27">
        <f t="shared" si="24"/>
        <v>1745.2735941946628</v>
      </c>
      <c r="H87" s="27">
        <f t="shared" si="24"/>
        <v>1919.8009536141292</v>
      </c>
      <c r="I87" s="27">
        <f t="shared" si="24"/>
        <v>2073.3850299032597</v>
      </c>
      <c r="J87" s="27">
        <f t="shared" si="24"/>
        <v>2197.7881316974554</v>
      </c>
      <c r="K87" s="27">
        <f t="shared" si="24"/>
        <v>2285.6996569653538</v>
      </c>
      <c r="L87" s="27">
        <f t="shared" si="24"/>
        <v>2331.413650104661</v>
      </c>
    </row>
    <row r="88" spans="2:12" outlineLevel="1" x14ac:dyDescent="0.3">
      <c r="B88" t="s">
        <v>90</v>
      </c>
      <c r="C88" s="27">
        <f>C86-C87</f>
        <v>55154.143108595134</v>
      </c>
      <c r="D88" s="27">
        <f t="shared" ref="D88:L88" si="25">D86-D87</f>
        <v>65081.88886814224</v>
      </c>
      <c r="E88" s="27">
        <f t="shared" si="25"/>
        <v>75494.991087045011</v>
      </c>
      <c r="F88" s="27">
        <f t="shared" si="25"/>
        <v>86064.289839231322</v>
      </c>
      <c r="G88" s="27">
        <f t="shared" si="25"/>
        <v>96392.004619939107</v>
      </c>
      <c r="H88" s="27">
        <f t="shared" si="25"/>
        <v>106031.205081933</v>
      </c>
      <c r="I88" s="27">
        <f t="shared" si="25"/>
        <v>114513.70148848766</v>
      </c>
      <c r="J88" s="27">
        <f t="shared" si="25"/>
        <v>121384.52357779694</v>
      </c>
      <c r="K88" s="27">
        <f t="shared" si="25"/>
        <v>126239.90452090881</v>
      </c>
      <c r="L88" s="27">
        <f t="shared" si="25"/>
        <v>128764.702611327</v>
      </c>
    </row>
    <row r="89" spans="2:12" outlineLevel="1" x14ac:dyDescent="0.3">
      <c r="B89" t="s">
        <v>109</v>
      </c>
      <c r="C89" s="27">
        <f t="shared" ref="C89:L89" si="26">C88*Tax_rate</f>
        <v>13788.535777148783</v>
      </c>
      <c r="D89" s="27">
        <f t="shared" si="26"/>
        <v>16270.47221703556</v>
      </c>
      <c r="E89" s="27">
        <f t="shared" si="26"/>
        <v>18873.747771761253</v>
      </c>
      <c r="F89" s="27">
        <f t="shared" si="26"/>
        <v>21516.07245980783</v>
      </c>
      <c r="G89" s="27">
        <f t="shared" si="26"/>
        <v>24098.001154984777</v>
      </c>
      <c r="H89" s="27">
        <f t="shared" si="26"/>
        <v>26507.801270483251</v>
      </c>
      <c r="I89" s="27">
        <f t="shared" si="26"/>
        <v>28628.425372121914</v>
      </c>
      <c r="J89" s="27">
        <f t="shared" si="26"/>
        <v>30346.130894449234</v>
      </c>
      <c r="K89" s="27">
        <f t="shared" si="26"/>
        <v>31559.976130227202</v>
      </c>
      <c r="L89" s="27">
        <f t="shared" si="26"/>
        <v>32191.175652831749</v>
      </c>
    </row>
    <row r="90" spans="2:12" outlineLevel="1" x14ac:dyDescent="0.3">
      <c r="B90" t="s">
        <v>110</v>
      </c>
      <c r="C90" s="27">
        <f>C88-C89</f>
        <v>41365.60733144635</v>
      </c>
      <c r="D90" s="27">
        <f t="shared" ref="D90:L90" si="27">D88-D89</f>
        <v>48811.41665110668</v>
      </c>
      <c r="E90" s="27">
        <f t="shared" si="27"/>
        <v>56621.243315283762</v>
      </c>
      <c r="F90" s="27">
        <f t="shared" si="27"/>
        <v>64548.217379423491</v>
      </c>
      <c r="G90" s="27">
        <f t="shared" si="27"/>
        <v>72294.003464954323</v>
      </c>
      <c r="H90" s="27">
        <f t="shared" si="27"/>
        <v>79523.403811449753</v>
      </c>
      <c r="I90" s="27">
        <f t="shared" si="27"/>
        <v>85885.276116365741</v>
      </c>
      <c r="J90" s="27">
        <f t="shared" si="27"/>
        <v>91038.392683347702</v>
      </c>
      <c r="K90" s="27">
        <f t="shared" si="27"/>
        <v>94679.928390681598</v>
      </c>
      <c r="L90" s="27">
        <f t="shared" si="27"/>
        <v>96573.526958495248</v>
      </c>
    </row>
    <row r="91" spans="2:12" outlineLevel="1" x14ac:dyDescent="0.3">
      <c r="B91" t="s">
        <v>111</v>
      </c>
      <c r="C91" s="27">
        <f>C87</f>
        <v>998.62089140485637</v>
      </c>
      <c r="D91" s="27">
        <f t="shared" ref="D91:L91" si="28">D87</f>
        <v>1178.3726518577305</v>
      </c>
      <c r="E91" s="27">
        <f t="shared" si="28"/>
        <v>1366.9122761549675</v>
      </c>
      <c r="F91" s="27">
        <f t="shared" si="28"/>
        <v>1558.279994816663</v>
      </c>
      <c r="G91" s="27">
        <f t="shared" si="28"/>
        <v>1745.2735941946628</v>
      </c>
      <c r="H91" s="27">
        <f t="shared" si="28"/>
        <v>1919.8009536141292</v>
      </c>
      <c r="I91" s="27">
        <f t="shared" si="28"/>
        <v>2073.3850299032597</v>
      </c>
      <c r="J91" s="27">
        <f t="shared" si="28"/>
        <v>2197.7881316974554</v>
      </c>
      <c r="K91" s="27">
        <f t="shared" si="28"/>
        <v>2285.6996569653538</v>
      </c>
      <c r="L91" s="27">
        <f t="shared" si="28"/>
        <v>2331.413650104661</v>
      </c>
    </row>
    <row r="92" spans="2:12" outlineLevel="1" x14ac:dyDescent="0.3">
      <c r="B92" t="s">
        <v>112</v>
      </c>
      <c r="C92" s="27">
        <f>C90*-50%</f>
        <v>-20682.803665723175</v>
      </c>
      <c r="D92" s="27">
        <f t="shared" ref="D92:L92" si="29">D90*-50%</f>
        <v>-24405.70832555334</v>
      </c>
      <c r="E92" s="27">
        <f t="shared" si="29"/>
        <v>-28310.621657641881</v>
      </c>
      <c r="F92" s="27">
        <f t="shared" si="29"/>
        <v>-32274.108689711746</v>
      </c>
      <c r="G92" s="27">
        <f t="shared" si="29"/>
        <v>-36147.001732477162</v>
      </c>
      <c r="H92" s="27">
        <f t="shared" si="29"/>
        <v>-39761.701905724876</v>
      </c>
      <c r="I92" s="27">
        <f t="shared" si="29"/>
        <v>-42942.638058182871</v>
      </c>
      <c r="J92" s="27">
        <f t="shared" si="29"/>
        <v>-45519.196341673851</v>
      </c>
      <c r="K92" s="27">
        <f t="shared" si="29"/>
        <v>-47339.964195340799</v>
      </c>
      <c r="L92" s="27">
        <f t="shared" si="29"/>
        <v>-48286.763479247624</v>
      </c>
    </row>
    <row r="93" spans="2:12" outlineLevel="1" x14ac:dyDescent="0.3">
      <c r="B93" s="24" t="s">
        <v>113</v>
      </c>
      <c r="C93" s="34">
        <f>SUM(C90:C92)</f>
        <v>21681.42455712803</v>
      </c>
      <c r="D93" s="34">
        <f t="shared" ref="D93:L93" si="30">SUM(D90:D92)</f>
        <v>25584.080977411071</v>
      </c>
      <c r="E93" s="34">
        <f t="shared" si="30"/>
        <v>29677.533933796847</v>
      </c>
      <c r="F93" s="34">
        <f t="shared" si="30"/>
        <v>33832.3886845284</v>
      </c>
      <c r="G93" s="34">
        <f t="shared" si="30"/>
        <v>37892.275326671821</v>
      </c>
      <c r="H93" s="34">
        <f t="shared" si="30"/>
        <v>41681.502859339009</v>
      </c>
      <c r="I93" s="34">
        <f t="shared" si="30"/>
        <v>45016.023088086135</v>
      </c>
      <c r="J93" s="34">
        <f t="shared" si="30"/>
        <v>47716.984473371303</v>
      </c>
      <c r="K93" s="34">
        <f t="shared" si="30"/>
        <v>49625.663852306156</v>
      </c>
      <c r="L93" s="34">
        <f t="shared" si="30"/>
        <v>50618.177129352283</v>
      </c>
    </row>
    <row r="94" spans="2:12" x14ac:dyDescent="0.3">
      <c r="C94" s="27"/>
    </row>
    <row r="97" spans="2:12" ht="31.2" x14ac:dyDescent="0.6">
      <c r="B97" s="64" t="s">
        <v>114</v>
      </c>
      <c r="C97" s="64"/>
      <c r="D97" s="64"/>
      <c r="E97" s="64"/>
      <c r="F97" s="64"/>
      <c r="G97" s="64"/>
      <c r="H97" s="64"/>
      <c r="I97" s="64"/>
      <c r="J97" s="64"/>
      <c r="K97" s="64"/>
      <c r="L97" s="64"/>
    </row>
    <row r="99" spans="2:12" outlineLevel="1" x14ac:dyDescent="0.3">
      <c r="B99" s="16" t="s">
        <v>115</v>
      </c>
      <c r="C99" s="35"/>
    </row>
    <row r="100" spans="2:12" outlineLevel="1" x14ac:dyDescent="0.3">
      <c r="B100" t="s">
        <v>116</v>
      </c>
      <c r="C100" s="17">
        <f>Comps!F19</f>
        <v>0.4510118501416111</v>
      </c>
    </row>
    <row r="101" spans="2:12" outlineLevel="1" x14ac:dyDescent="0.3">
      <c r="B101" t="s">
        <v>117</v>
      </c>
      <c r="C101" s="17">
        <f>Comps!E19</f>
        <v>0.82163766171662878</v>
      </c>
    </row>
    <row r="102" spans="2:12" outlineLevel="1" x14ac:dyDescent="0.3">
      <c r="B102" s="16" t="s">
        <v>118</v>
      </c>
      <c r="C102" s="35"/>
    </row>
    <row r="103" spans="2:12" outlineLevel="1" x14ac:dyDescent="0.3">
      <c r="B103" t="s">
        <v>119</v>
      </c>
      <c r="C103" s="46">
        <f>Comps!C9</f>
        <v>115792</v>
      </c>
    </row>
    <row r="104" spans="2:12" outlineLevel="1" x14ac:dyDescent="0.3">
      <c r="B104" t="s">
        <v>120</v>
      </c>
      <c r="C104" s="46">
        <f>Comps!D9</f>
        <v>46807</v>
      </c>
    </row>
    <row r="105" spans="2:12" outlineLevel="1" x14ac:dyDescent="0.3">
      <c r="B105" t="s">
        <v>121</v>
      </c>
      <c r="C105" s="19">
        <f>C104/C103</f>
        <v>0.40423345308829628</v>
      </c>
    </row>
    <row r="106" spans="2:12" outlineLevel="1" x14ac:dyDescent="0.3">
      <c r="B106" s="16" t="s">
        <v>122</v>
      </c>
      <c r="C106" s="35"/>
    </row>
    <row r="107" spans="2:12" outlineLevel="1" x14ac:dyDescent="0.3">
      <c r="B107" t="s">
        <v>123</v>
      </c>
      <c r="C107" s="47">
        <v>7.0000000000000007E-2</v>
      </c>
    </row>
    <row r="108" spans="2:12" outlineLevel="1" x14ac:dyDescent="0.3">
      <c r="B108" t="s">
        <v>124</v>
      </c>
      <c r="C108" s="17" cm="1">
        <f t="array" ref="C108">Tax_rate</f>
        <v>0.25</v>
      </c>
    </row>
    <row r="109" spans="2:12" outlineLevel="1" x14ac:dyDescent="0.3">
      <c r="B109" t="s">
        <v>125</v>
      </c>
      <c r="C109" s="19">
        <f>C107*(1-C108)</f>
        <v>5.2500000000000005E-2</v>
      </c>
    </row>
    <row r="110" spans="2:12" outlineLevel="1" x14ac:dyDescent="0.3">
      <c r="B110" s="16" t="s">
        <v>126</v>
      </c>
      <c r="C110" s="16"/>
    </row>
    <row r="111" spans="2:12" outlineLevel="1" x14ac:dyDescent="0.3">
      <c r="B111" t="s">
        <v>127</v>
      </c>
      <c r="C111" s="36">
        <f>C25</f>
        <v>6.5000000000000002E-2</v>
      </c>
    </row>
    <row r="112" spans="2:12" outlineLevel="1" x14ac:dyDescent="0.3">
      <c r="B112" t="s">
        <v>128</v>
      </c>
      <c r="C112" s="19">
        <f>C26</f>
        <v>5.4999999999999993E-2</v>
      </c>
    </row>
    <row r="113" spans="2:13" outlineLevel="1" x14ac:dyDescent="0.3">
      <c r="B113" t="s">
        <v>129</v>
      </c>
      <c r="C113" s="27">
        <f>Comps!I19*(1+'DCF Model'!C105*(1-Tax_rate))</f>
        <v>0.61476000666088171</v>
      </c>
    </row>
    <row r="114" spans="2:13" outlineLevel="1" x14ac:dyDescent="0.3">
      <c r="B114" t="s">
        <v>126</v>
      </c>
      <c r="C114" s="18">
        <f>C111+C113*C112</f>
        <v>9.8811800366348485E-2</v>
      </c>
    </row>
    <row r="115" spans="2:13" ht="18" outlineLevel="1" x14ac:dyDescent="0.35">
      <c r="B115" s="37" t="s">
        <v>130</v>
      </c>
      <c r="C115" s="38">
        <f>(C114*C101)+(C109*C100)</f>
        <v>0.10486561873545149</v>
      </c>
    </row>
    <row r="119" spans="2:13" ht="31.2" x14ac:dyDescent="0.6">
      <c r="B119" s="64" t="s">
        <v>152</v>
      </c>
      <c r="C119" s="64"/>
      <c r="D119" s="64"/>
      <c r="E119" s="64"/>
      <c r="F119" s="64"/>
      <c r="G119" s="64"/>
      <c r="H119" s="64"/>
      <c r="I119" s="64"/>
      <c r="J119" s="64"/>
      <c r="K119" s="64"/>
      <c r="L119" s="64"/>
    </row>
    <row r="121" spans="2:13" x14ac:dyDescent="0.3">
      <c r="B121" s="49" t="s">
        <v>153</v>
      </c>
      <c r="C121" s="50">
        <f>L93</f>
        <v>50618.177129352283</v>
      </c>
    </row>
    <row r="122" spans="2:13" x14ac:dyDescent="0.3">
      <c r="B122" s="51" t="s">
        <v>72</v>
      </c>
      <c r="C122" s="52">
        <f>C23</f>
        <v>0.06</v>
      </c>
    </row>
    <row r="123" spans="2:13" x14ac:dyDescent="0.3">
      <c r="B123" t="s">
        <v>154</v>
      </c>
    </row>
    <row r="124" spans="2:13" x14ac:dyDescent="0.3">
      <c r="B124" t="s">
        <v>152</v>
      </c>
      <c r="C124" s="27">
        <f>C121*(1+C122)/(C115-C122)</f>
        <v>1195910.5718231546</v>
      </c>
    </row>
    <row r="126" spans="2:13" ht="31.2" x14ac:dyDescent="0.6">
      <c r="B126" s="64" t="s">
        <v>155</v>
      </c>
      <c r="C126" s="64"/>
      <c r="D126" s="64"/>
      <c r="E126" s="64"/>
      <c r="F126" s="64"/>
      <c r="G126" s="64"/>
      <c r="H126" s="64"/>
      <c r="I126" s="64"/>
      <c r="J126" s="64"/>
      <c r="K126" s="64"/>
      <c r="L126" s="64"/>
    </row>
    <row r="128" spans="2:13" x14ac:dyDescent="0.3">
      <c r="B128" s="26" t="s">
        <v>81</v>
      </c>
      <c r="C128" s="26">
        <v>46112</v>
      </c>
      <c r="D128" s="26">
        <v>46477</v>
      </c>
      <c r="E128" s="26">
        <v>46843</v>
      </c>
      <c r="F128" s="26">
        <v>47208</v>
      </c>
      <c r="G128" s="26">
        <v>47573</v>
      </c>
      <c r="H128" s="26">
        <v>47938</v>
      </c>
      <c r="I128" s="26">
        <v>48304</v>
      </c>
      <c r="J128" s="26">
        <v>48669</v>
      </c>
      <c r="K128" s="26">
        <v>49034</v>
      </c>
      <c r="L128" s="26">
        <v>49399</v>
      </c>
      <c r="M128" s="26" t="s">
        <v>152</v>
      </c>
    </row>
    <row r="129" spans="2:13" x14ac:dyDescent="0.3">
      <c r="B129" t="s">
        <v>156</v>
      </c>
      <c r="C129" s="30">
        <f>C93</f>
        <v>21681.42455712803</v>
      </c>
      <c r="D129" s="30">
        <f t="shared" ref="D129:L129" si="31">D93</f>
        <v>25584.080977411071</v>
      </c>
      <c r="E129" s="30">
        <f t="shared" si="31"/>
        <v>29677.533933796847</v>
      </c>
      <c r="F129" s="30">
        <f t="shared" si="31"/>
        <v>33832.3886845284</v>
      </c>
      <c r="G129" s="30">
        <f t="shared" si="31"/>
        <v>37892.275326671821</v>
      </c>
      <c r="H129" s="30">
        <f t="shared" si="31"/>
        <v>41681.502859339009</v>
      </c>
      <c r="I129" s="30">
        <f t="shared" si="31"/>
        <v>45016.023088086135</v>
      </c>
      <c r="J129" s="30">
        <f t="shared" si="31"/>
        <v>47716.984473371303</v>
      </c>
      <c r="K129" s="30">
        <f t="shared" si="31"/>
        <v>49625.663852306156</v>
      </c>
      <c r="L129" s="30">
        <f t="shared" si="31"/>
        <v>50618.177129352283</v>
      </c>
      <c r="M129" s="27">
        <f>C124</f>
        <v>1195910.5718231546</v>
      </c>
    </row>
    <row r="130" spans="2:13" x14ac:dyDescent="0.3">
      <c r="B130" t="s">
        <v>157</v>
      </c>
      <c r="C130" s="27">
        <f>1/(1+$C$115)^1</f>
        <v>0.90508744506370553</v>
      </c>
      <c r="D130" s="27">
        <f>1/(1+$C$115)^2</f>
        <v>0.81918328321194622</v>
      </c>
      <c r="E130" s="27">
        <f>1/(1+$C$115)^3</f>
        <v>0.74143250484119838</v>
      </c>
      <c r="F130" s="27">
        <f>1/(1+$C$115)^4</f>
        <v>0.67106125149390372</v>
      </c>
      <c r="G130" s="27">
        <f>1/(1+$C$115)^5</f>
        <v>0.60736911359587009</v>
      </c>
      <c r="H130" s="27">
        <f>1/(1+$C$115)^6</f>
        <v>0.5497221592350936</v>
      </c>
      <c r="I130" s="27">
        <f>1/(1+$C$115)^7</f>
        <v>0.49754662459699445</v>
      </c>
      <c r="J130" s="27">
        <f>1/(1+$C$115)^8</f>
        <v>0.45032320325656428</v>
      </c>
      <c r="K130" s="27">
        <f>1/(1+$C$115)^9</f>
        <v>0.40758187748838753</v>
      </c>
      <c r="L130" s="27">
        <f>1/(1+$C$115)^10</f>
        <v>0.3688972401502329</v>
      </c>
      <c r="M130" s="27">
        <f>L130</f>
        <v>0.3688972401502329</v>
      </c>
    </row>
    <row r="131" spans="2:13" x14ac:dyDescent="0.3">
      <c r="B131" t="s">
        <v>158</v>
      </c>
      <c r="C131" s="30">
        <f>C129*C130</f>
        <v>19623.585157752492</v>
      </c>
      <c r="D131" s="30">
        <f t="shared" ref="D131:L131" si="32">D129*D130</f>
        <v>20958.0514530359</v>
      </c>
      <c r="E131" s="30">
        <f t="shared" si="32"/>
        <v>22003.888322044659</v>
      </c>
      <c r="F131" s="30">
        <f t="shared" si="32"/>
        <v>22703.605091667814</v>
      </c>
      <c r="G131" s="30">
        <f t="shared" si="32"/>
        <v>23014.597677291324</v>
      </c>
      <c r="H131" s="30">
        <f t="shared" si="32"/>
        <v>22913.245751999566</v>
      </c>
      <c r="I131" s="30">
        <f t="shared" si="32"/>
        <v>22397.570340257626</v>
      </c>
      <c r="J131" s="30">
        <f t="shared" si="32"/>
        <v>21488.065297792306</v>
      </c>
      <c r="K131" s="30">
        <f t="shared" si="32"/>
        <v>20226.521244530548</v>
      </c>
      <c r="L131" s="30">
        <f t="shared" si="32"/>
        <v>18672.905844453697</v>
      </c>
      <c r="M131" s="30">
        <f>M129*M130</f>
        <v>441168.10941204859</v>
      </c>
    </row>
    <row r="132" spans="2:13" x14ac:dyDescent="0.3">
      <c r="C132" s="30"/>
      <c r="D132" s="30"/>
      <c r="E132" s="30"/>
      <c r="F132" s="30"/>
      <c r="G132" s="30"/>
      <c r="H132" s="30"/>
    </row>
    <row r="134" spans="2:13" ht="31.2" x14ac:dyDescent="0.6">
      <c r="B134" s="64" t="s">
        <v>159</v>
      </c>
      <c r="C134" s="64"/>
      <c r="D134" s="64"/>
      <c r="E134" s="64"/>
      <c r="F134" s="64"/>
      <c r="G134" s="64"/>
      <c r="H134" s="64"/>
      <c r="I134" s="64"/>
      <c r="J134" s="64"/>
      <c r="K134" s="64"/>
      <c r="L134" s="64"/>
    </row>
    <row r="136" spans="2:13" ht="18" x14ac:dyDescent="0.35">
      <c r="B136" s="53" t="s">
        <v>160</v>
      </c>
    </row>
    <row r="138" spans="2:13" ht="18" x14ac:dyDescent="0.35">
      <c r="B138" s="54">
        <f>SUM(C131:L131)</f>
        <v>214002.03618082593</v>
      </c>
    </row>
    <row r="139" spans="2:13" x14ac:dyDescent="0.3">
      <c r="B139" s="55"/>
    </row>
    <row r="141" spans="2:13" ht="18" x14ac:dyDescent="0.35">
      <c r="B141" s="53" t="s">
        <v>161</v>
      </c>
    </row>
    <row r="143" spans="2:13" ht="18" x14ac:dyDescent="0.35">
      <c r="B143" s="54">
        <f>M131</f>
        <v>441168.10941204859</v>
      </c>
    </row>
    <row r="144" spans="2:13" x14ac:dyDescent="0.3">
      <c r="B144" s="56"/>
    </row>
    <row r="146" spans="2:12" ht="18" x14ac:dyDescent="0.35">
      <c r="B146" s="53" t="s">
        <v>162</v>
      </c>
    </row>
    <row r="148" spans="2:12" ht="18" x14ac:dyDescent="0.35">
      <c r="B148" s="54">
        <f>B138+B143</f>
        <v>655170.1455928745</v>
      </c>
    </row>
    <row r="149" spans="2:12" x14ac:dyDescent="0.3">
      <c r="B149" s="56"/>
    </row>
    <row r="150" spans="2:12" x14ac:dyDescent="0.3">
      <c r="B150" t="s">
        <v>162</v>
      </c>
      <c r="C150" s="30">
        <f>B148</f>
        <v>655170.1455928745</v>
      </c>
    </row>
    <row r="151" spans="2:12" x14ac:dyDescent="0.3">
      <c r="B151" t="s">
        <v>163</v>
      </c>
      <c r="C151" s="46">
        <f>C104</f>
        <v>46807</v>
      </c>
    </row>
    <row r="152" spans="2:12" x14ac:dyDescent="0.3">
      <c r="B152" t="s">
        <v>164</v>
      </c>
      <c r="C152" s="45">
        <f>Comps!H9</f>
        <v>31796</v>
      </c>
    </row>
    <row r="153" spans="2:12" ht="15.6" x14ac:dyDescent="0.3">
      <c r="B153" s="57" t="s">
        <v>165</v>
      </c>
      <c r="C153" s="58">
        <f>C150-C151+C152</f>
        <v>640159.1455928745</v>
      </c>
    </row>
    <row r="154" spans="2:12" x14ac:dyDescent="0.3">
      <c r="B154" t="s">
        <v>166</v>
      </c>
      <c r="C154" s="59">
        <f>'Data Sheet'!K93</f>
        <v>134.69999999999999</v>
      </c>
    </row>
    <row r="155" spans="2:12" ht="15.6" x14ac:dyDescent="0.3">
      <c r="B155" s="57" t="s">
        <v>167</v>
      </c>
      <c r="C155" s="60">
        <f>C153/C154</f>
        <v>4752.4806651289873</v>
      </c>
      <c r="D155" s="59"/>
    </row>
    <row r="156" spans="2:12" x14ac:dyDescent="0.3">
      <c r="B156" t="s">
        <v>168</v>
      </c>
      <c r="C156">
        <v>856.45</v>
      </c>
      <c r="D156" s="17">
        <f>C156/C155-1</f>
        <v>-0.81978885126579359</v>
      </c>
    </row>
    <row r="157" spans="2:12" x14ac:dyDescent="0.3">
      <c r="B157" t="s">
        <v>169</v>
      </c>
      <c r="C157" s="61">
        <f>C155/C156-1</f>
        <v>4.5490462550399755</v>
      </c>
    </row>
    <row r="159" spans="2:12" ht="31.2" x14ac:dyDescent="0.6">
      <c r="B159" s="64" t="s">
        <v>170</v>
      </c>
      <c r="C159" s="64"/>
      <c r="D159" s="64"/>
      <c r="E159" s="64"/>
      <c r="F159" s="64"/>
      <c r="G159" s="64"/>
      <c r="H159" s="64"/>
      <c r="I159" s="64"/>
      <c r="J159" s="64"/>
      <c r="K159" s="64"/>
      <c r="L159" s="64"/>
    </row>
    <row r="160" spans="2:12" x14ac:dyDescent="0.3">
      <c r="B160" s="26" t="s">
        <v>171</v>
      </c>
    </row>
    <row r="161" spans="2:12" x14ac:dyDescent="0.3">
      <c r="B161" s="63">
        <f>C155</f>
        <v>4752.4806651289873</v>
      </c>
      <c r="C161" s="33">
        <f>D161-0.5%</f>
        <v>9.9865618735451481E-2</v>
      </c>
      <c r="D161" s="33">
        <f>E161-0.5%</f>
        <v>0.10486561873545149</v>
      </c>
      <c r="E161" s="33">
        <f>H161-0.5%</f>
        <v>0.10986561873545149</v>
      </c>
      <c r="F161" s="18">
        <v>0.10486561873545149</v>
      </c>
      <c r="G161" s="33">
        <f>F161+0.5%</f>
        <v>0.10986561873545149</v>
      </c>
      <c r="H161" s="33">
        <f>G161+0.5%</f>
        <v>0.11486561873545149</v>
      </c>
    </row>
    <row r="162" spans="2:12" x14ac:dyDescent="0.3">
      <c r="B162" s="62">
        <f>B163-1%</f>
        <v>3.9999999999999994E-2</v>
      </c>
      <c r="C162">
        <f t="dataTable" ref="C162:H166" dt2D="1" dtr="1" r1="C115" r2="C23"/>
        <v>4037.2424533158783</v>
      </c>
      <c r="D162">
        <v>3699.8996316103194</v>
      </c>
      <c r="E162">
        <v>3411.1719405087961</v>
      </c>
      <c r="F162">
        <v>3699.8996316103194</v>
      </c>
      <c r="G162">
        <v>3411.1719405087961</v>
      </c>
      <c r="H162">
        <v>3161.3111965082658</v>
      </c>
    </row>
    <row r="163" spans="2:12" x14ac:dyDescent="0.3">
      <c r="B163" s="62">
        <f>B164-1%</f>
        <v>4.9999999999999996E-2</v>
      </c>
      <c r="C163">
        <v>4571.6881444882456</v>
      </c>
      <c r="D163">
        <v>4130.2665938943128</v>
      </c>
      <c r="E163">
        <v>3762.7844660969299</v>
      </c>
      <c r="F163">
        <v>4130.2665938943128</v>
      </c>
      <c r="G163">
        <v>3762.7844660969299</v>
      </c>
      <c r="H163">
        <v>3452.1412075761477</v>
      </c>
    </row>
    <row r="164" spans="2:12" x14ac:dyDescent="0.3">
      <c r="B164" s="62">
        <v>0.06</v>
      </c>
      <c r="C164">
        <v>5374.2574510089426</v>
      </c>
      <c r="D164">
        <v>4752.4806651289873</v>
      </c>
      <c r="E164">
        <v>4255.4210216699394</v>
      </c>
      <c r="F164">
        <v>4752.4806651289873</v>
      </c>
      <c r="G164">
        <v>4255.4210216699394</v>
      </c>
      <c r="H164">
        <v>3848.9866132649104</v>
      </c>
    </row>
    <row r="165" spans="2:12" x14ac:dyDescent="0.3">
      <c r="B165" s="62">
        <f>B164+1%</f>
        <v>6.9999999999999993E-2</v>
      </c>
      <c r="C165">
        <v>6714.280418630603</v>
      </c>
      <c r="D165">
        <v>5731.6160208851397</v>
      </c>
      <c r="E165">
        <v>4995.2061585014771</v>
      </c>
      <c r="F165">
        <v>5731.6160208851397</v>
      </c>
      <c r="G165">
        <v>4995.2061585014771</v>
      </c>
      <c r="H165">
        <v>4422.7360344889294</v>
      </c>
    </row>
    <row r="166" spans="2:12" x14ac:dyDescent="0.3">
      <c r="B166" s="62">
        <f>B165+1%</f>
        <v>7.9999999999999988E-2</v>
      </c>
      <c r="C166">
        <v>9403.3909585716683</v>
      </c>
      <c r="D166">
        <v>7498.2928942470253</v>
      </c>
      <c r="E166">
        <v>6230.400510447238</v>
      </c>
      <c r="F166">
        <v>7498.2928942470253</v>
      </c>
      <c r="G166">
        <v>6230.400510447238</v>
      </c>
      <c r="H166">
        <v>5325.6059142239164</v>
      </c>
    </row>
    <row r="169" spans="2:12" ht="31.2" x14ac:dyDescent="0.6">
      <c r="B169" s="64" t="s">
        <v>172</v>
      </c>
      <c r="C169" s="64"/>
      <c r="D169" s="64"/>
      <c r="E169" s="64"/>
      <c r="F169" s="64"/>
      <c r="G169" s="64"/>
      <c r="H169" s="64"/>
      <c r="I169" s="64"/>
      <c r="J169" s="64"/>
      <c r="K169" s="64"/>
      <c r="L169" s="64"/>
    </row>
  </sheetData>
  <mergeCells count="11">
    <mergeCell ref="B119:L119"/>
    <mergeCell ref="B126:L126"/>
    <mergeCell ref="B134:L134"/>
    <mergeCell ref="B159:L159"/>
    <mergeCell ref="B169:L169"/>
    <mergeCell ref="B97:L97"/>
    <mergeCell ref="B16:L16"/>
    <mergeCell ref="B30:L30"/>
    <mergeCell ref="B57:L57"/>
    <mergeCell ref="B82:L82"/>
    <mergeCell ref="B72:L72"/>
  </mergeCells>
  <dataValidations count="1">
    <dataValidation type="list" allowBlank="1" showInputMessage="1" showErrorMessage="1" sqref="C76" xr:uid="{DCB59FAE-25D7-4D8F-AC34-A5F17C9C9753}">
      <formula1>$B$77:$B$79</formula1>
    </dataValidation>
  </dataValidations>
  <pageMargins left="0.7" right="0.7" top="0.75" bottom="0.75" header="0.3" footer="0.3"/>
  <ignoredErrors>
    <ignoredError sqref="C38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78AD0-7291-46A0-ACF7-9D73F5C9FF7B}">
  <dimension ref="B3:I19"/>
  <sheetViews>
    <sheetView showGridLines="0" tabSelected="1" topLeftCell="A5" workbookViewId="0">
      <selection activeCell="E9" sqref="E9"/>
    </sheetView>
  </sheetViews>
  <sheetFormatPr defaultColWidth="10.21875" defaultRowHeight="14.4" x14ac:dyDescent="0.3"/>
  <cols>
    <col min="2" max="2" width="18.109375" bestFit="1" customWidth="1"/>
    <col min="3" max="3" width="11.21875" bestFit="1" customWidth="1"/>
    <col min="4" max="5" width="10.21875" bestFit="1" customWidth="1"/>
    <col min="6" max="6" width="11.5546875" bestFit="1" customWidth="1"/>
    <col min="7" max="7" width="9.5546875" bestFit="1" customWidth="1"/>
    <col min="8" max="8" width="20" bestFit="1" customWidth="1"/>
    <col min="9" max="9" width="12.5546875" bestFit="1" customWidth="1"/>
  </cols>
  <sheetData>
    <row r="3" spans="2:9" ht="33.6" x14ac:dyDescent="0.65">
      <c r="B3" s="65" t="s">
        <v>143</v>
      </c>
      <c r="C3" s="65"/>
      <c r="D3" s="65"/>
      <c r="E3" s="65"/>
      <c r="F3" s="65"/>
      <c r="G3" s="65"/>
      <c r="H3" s="65"/>
      <c r="I3" s="65"/>
    </row>
    <row r="4" spans="2:9" ht="19.95" customHeight="1" x14ac:dyDescent="0.3">
      <c r="B4" s="39" t="s">
        <v>131</v>
      </c>
      <c r="C4" s="40" t="s">
        <v>132</v>
      </c>
      <c r="D4" s="40" t="s">
        <v>133</v>
      </c>
      <c r="E4" s="40" t="s">
        <v>134</v>
      </c>
      <c r="F4" s="40" t="s">
        <v>135</v>
      </c>
      <c r="G4" s="40" t="s">
        <v>136</v>
      </c>
      <c r="H4" s="40" t="s">
        <v>137</v>
      </c>
    </row>
    <row r="5" spans="2:9" ht="19.95" customHeight="1" x14ac:dyDescent="0.3">
      <c r="B5" s="41" t="s">
        <v>138</v>
      </c>
      <c r="C5" s="46">
        <v>930400</v>
      </c>
      <c r="D5" s="46">
        <v>777302</v>
      </c>
      <c r="E5" s="40">
        <v>11.08</v>
      </c>
      <c r="F5" s="42">
        <v>136240.49</v>
      </c>
      <c r="G5" s="40">
        <v>1.05</v>
      </c>
      <c r="H5" s="42">
        <v>212013.35</v>
      </c>
    </row>
    <row r="6" spans="2:9" ht="19.95" customHeight="1" x14ac:dyDescent="0.3">
      <c r="B6" s="41" t="s">
        <v>139</v>
      </c>
      <c r="C6" s="46">
        <v>139893</v>
      </c>
      <c r="D6" s="46">
        <v>77798</v>
      </c>
      <c r="E6" s="40">
        <v>9.74</v>
      </c>
      <c r="F6" s="42">
        <v>27427.1</v>
      </c>
      <c r="G6" s="40">
        <v>1.42</v>
      </c>
      <c r="H6" s="42">
        <v>43255.93</v>
      </c>
    </row>
    <row r="7" spans="2:9" ht="19.95" customHeight="1" x14ac:dyDescent="0.3">
      <c r="B7" s="41" t="s">
        <v>140</v>
      </c>
      <c r="C7" s="46">
        <v>133145</v>
      </c>
      <c r="D7" s="46">
        <v>107558</v>
      </c>
      <c r="E7" s="40">
        <v>11.79</v>
      </c>
      <c r="F7" s="42">
        <v>33589.17</v>
      </c>
      <c r="G7" s="40">
        <v>1.24</v>
      </c>
      <c r="H7" s="42">
        <v>71273.23</v>
      </c>
    </row>
    <row r="8" spans="2:9" ht="19.95" customHeight="1" x14ac:dyDescent="0.3">
      <c r="B8" s="41" t="s">
        <v>141</v>
      </c>
      <c r="C8" s="46">
        <v>122587</v>
      </c>
      <c r="D8" s="45">
        <v>156357.45000000001</v>
      </c>
      <c r="E8" s="40">
        <v>10.89</v>
      </c>
      <c r="F8" s="42">
        <v>35114.519999999997</v>
      </c>
      <c r="G8" s="40">
        <v>1.26</v>
      </c>
      <c r="H8" s="42">
        <v>50665.14</v>
      </c>
    </row>
    <row r="9" spans="2:9" ht="19.95" customHeight="1" x14ac:dyDescent="0.3">
      <c r="B9" s="41" t="s">
        <v>142</v>
      </c>
      <c r="C9" s="46">
        <v>115792</v>
      </c>
      <c r="D9" s="46">
        <v>46807</v>
      </c>
      <c r="E9" s="40">
        <v>10.64</v>
      </c>
      <c r="F9" s="42">
        <v>18095.14</v>
      </c>
      <c r="G9" s="40">
        <v>1.33</v>
      </c>
      <c r="H9" s="42">
        <v>31796</v>
      </c>
    </row>
    <row r="11" spans="2:9" ht="33.6" x14ac:dyDescent="0.65">
      <c r="B11" s="65" t="s">
        <v>144</v>
      </c>
      <c r="C11" s="65"/>
      <c r="D11" s="65"/>
      <c r="E11" s="65"/>
      <c r="F11" s="65"/>
      <c r="G11" s="65"/>
      <c r="H11" s="65"/>
      <c r="I11" s="65"/>
    </row>
    <row r="13" spans="2:9" x14ac:dyDescent="0.3">
      <c r="B13" s="16" t="s">
        <v>131</v>
      </c>
      <c r="C13" s="16" t="s">
        <v>145</v>
      </c>
      <c r="D13" s="16" t="s">
        <v>146</v>
      </c>
      <c r="E13" s="16" t="s">
        <v>121</v>
      </c>
      <c r="F13" s="16" t="s">
        <v>147</v>
      </c>
      <c r="G13" s="16" t="s">
        <v>148</v>
      </c>
      <c r="H13" s="16" t="s">
        <v>149</v>
      </c>
      <c r="I13" s="16" t="s">
        <v>150</v>
      </c>
    </row>
    <row r="14" spans="2:9" x14ac:dyDescent="0.3">
      <c r="B14" s="41" t="s">
        <v>138</v>
      </c>
      <c r="C14" s="45">
        <f t="shared" ref="C14:D17" si="0">C5</f>
        <v>930400</v>
      </c>
      <c r="D14" s="45">
        <f t="shared" si="0"/>
        <v>777302</v>
      </c>
      <c r="E14" s="17">
        <f>D14/C14</f>
        <v>0.83544926913155637</v>
      </c>
      <c r="F14" s="17">
        <f>D14/(C14+D14)</f>
        <v>0.45517426342535172</v>
      </c>
      <c r="G14" s="17">
        <f>Tax_rate</f>
        <v>0.25</v>
      </c>
      <c r="H14">
        <f>G5</f>
        <v>1.05</v>
      </c>
      <c r="I14" s="27">
        <f>H14/(1+E14)*(1-G14)</f>
        <v>0.42905026755253561</v>
      </c>
    </row>
    <row r="15" spans="2:9" x14ac:dyDescent="0.3">
      <c r="B15" s="41" t="s">
        <v>139</v>
      </c>
      <c r="C15" s="45">
        <f t="shared" si="0"/>
        <v>139893</v>
      </c>
      <c r="D15" s="45">
        <f t="shared" si="0"/>
        <v>77798</v>
      </c>
      <c r="E15" s="17">
        <f t="shared" ref="E15:E17" si="1">D15/C15</f>
        <v>0.55612503842222272</v>
      </c>
      <c r="F15" s="17">
        <f t="shared" ref="F15:F17" si="2">D15/(C15+D15)</f>
        <v>0.35737811852580031</v>
      </c>
      <c r="G15" s="17">
        <f>Tax_rate</f>
        <v>0.25</v>
      </c>
      <c r="H15">
        <f t="shared" ref="H15:H17" si="3">G6</f>
        <v>1.42</v>
      </c>
      <c r="I15" s="27">
        <f t="shared" ref="I15:I17" si="4">H15/(1+E15)*(1-G15)</f>
        <v>0.68439230377002258</v>
      </c>
    </row>
    <row r="16" spans="2:9" ht="28.8" x14ac:dyDescent="0.3">
      <c r="B16" s="41" t="s">
        <v>140</v>
      </c>
      <c r="C16" s="45">
        <f t="shared" si="0"/>
        <v>133145</v>
      </c>
      <c r="D16" s="45">
        <f t="shared" si="0"/>
        <v>107558</v>
      </c>
      <c r="E16" s="17">
        <f t="shared" si="1"/>
        <v>0.80782605430170118</v>
      </c>
      <c r="F16" s="17">
        <f t="shared" si="2"/>
        <v>0.44684943685787049</v>
      </c>
      <c r="G16" s="17">
        <f>Tax_rate</f>
        <v>0.25</v>
      </c>
      <c r="H16">
        <f t="shared" si="3"/>
        <v>1.24</v>
      </c>
      <c r="I16" s="27">
        <f t="shared" si="4"/>
        <v>0.51443002372218039</v>
      </c>
    </row>
    <row r="17" spans="2:9" x14ac:dyDescent="0.3">
      <c r="B17" s="41" t="s">
        <v>141</v>
      </c>
      <c r="C17" s="45">
        <f t="shared" si="0"/>
        <v>122587</v>
      </c>
      <c r="D17" s="45">
        <f t="shared" si="0"/>
        <v>156357.45000000001</v>
      </c>
      <c r="E17" s="17">
        <f t="shared" si="1"/>
        <v>1.2754814947751394</v>
      </c>
      <c r="F17" s="17">
        <f t="shared" si="2"/>
        <v>0.56053257198700313</v>
      </c>
      <c r="G17" s="17">
        <f>Tax_rate</f>
        <v>0.25</v>
      </c>
      <c r="H17">
        <f t="shared" si="3"/>
        <v>1.26</v>
      </c>
      <c r="I17" s="27">
        <f t="shared" si="4"/>
        <v>0.41529671947228208</v>
      </c>
    </row>
    <row r="18" spans="2:9" x14ac:dyDescent="0.3">
      <c r="B18" s="43" t="s">
        <v>96</v>
      </c>
      <c r="C18" s="16"/>
      <c r="D18" s="16"/>
      <c r="E18" s="44">
        <f>AVERAGE(E14:E17)</f>
        <v>0.86872046415765491</v>
      </c>
      <c r="F18" s="44">
        <f t="shared" ref="F18:H18" si="5">AVERAGE(F14:F17)</f>
        <v>0.45498359769900637</v>
      </c>
      <c r="G18" s="44">
        <f t="shared" si="5"/>
        <v>0.25</v>
      </c>
      <c r="H18" s="48">
        <f t="shared" si="5"/>
        <v>1.2424999999999999</v>
      </c>
      <c r="I18" s="48">
        <f>AVERAGE(I14:I17)</f>
        <v>0.51079232862925517</v>
      </c>
    </row>
    <row r="19" spans="2:9" x14ac:dyDescent="0.3">
      <c r="B19" s="43" t="s">
        <v>151</v>
      </c>
      <c r="C19" s="16"/>
      <c r="D19" s="16"/>
      <c r="E19" s="44">
        <f>MEDIAN(E14:E17)</f>
        <v>0.82163766171662878</v>
      </c>
      <c r="F19" s="44">
        <f t="shared" ref="F19:I19" si="6">MEDIAN(F14:F17)</f>
        <v>0.4510118501416111</v>
      </c>
      <c r="G19" s="44">
        <f t="shared" si="6"/>
        <v>0.25</v>
      </c>
      <c r="H19" s="48">
        <f t="shared" si="6"/>
        <v>1.25</v>
      </c>
      <c r="I19" s="48">
        <f t="shared" si="6"/>
        <v>0.471740145637358</v>
      </c>
    </row>
  </sheetData>
  <mergeCells count="2">
    <mergeCell ref="B3:I3"/>
    <mergeCell ref="B11:I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5160A-6963-4DD2-9055-BBEC02BE1CB4}">
  <dimension ref="A1:K93"/>
  <sheetViews>
    <sheetView zoomScale="85" zoomScaleNormal="85" zoomScalePageLayoutView="120" workbookViewId="0">
      <pane xSplit="1" ySplit="1" topLeftCell="B71" activePane="bottomRight" state="frozen"/>
      <selection activeCell="C4" sqref="C4"/>
      <selection pane="topRight" activeCell="C4" sqref="C4"/>
      <selection pane="bottomLeft" activeCell="C4" sqref="C4"/>
      <selection pane="bottomRight" activeCell="B64" sqref="B64"/>
    </sheetView>
  </sheetViews>
  <sheetFormatPr defaultColWidth="8.77734375" defaultRowHeight="14.4" x14ac:dyDescent="0.3"/>
  <cols>
    <col min="1" max="1" width="27.6640625" style="1" bestFit="1" customWidth="1"/>
    <col min="2" max="11" width="13.44140625" style="1" bestFit="1" customWidth="1"/>
    <col min="12" max="16384" width="8.77734375" style="1"/>
  </cols>
  <sheetData>
    <row r="1" spans="1:11" s="3" customFormat="1" x14ac:dyDescent="0.3">
      <c r="A1" s="3" t="s">
        <v>54</v>
      </c>
      <c r="B1" s="3" t="s">
        <v>53</v>
      </c>
      <c r="E1" s="66" t="str">
        <f>IF(B2&lt;&gt;B3, "A NEW VERSION OF THE WORKSHEET IS AVAILABLE", "")</f>
        <v/>
      </c>
      <c r="F1" s="66"/>
      <c r="G1" s="66"/>
      <c r="H1" s="66"/>
      <c r="I1" s="66"/>
      <c r="J1" s="66"/>
      <c r="K1" s="66"/>
    </row>
    <row r="2" spans="1:11" x14ac:dyDescent="0.3">
      <c r="A2" s="3" t="s">
        <v>52</v>
      </c>
      <c r="B2" s="1">
        <v>2.1</v>
      </c>
      <c r="E2" s="67" t="s">
        <v>51</v>
      </c>
      <c r="F2" s="67"/>
      <c r="G2" s="67"/>
      <c r="H2" s="67"/>
      <c r="I2" s="67"/>
      <c r="J2" s="67"/>
      <c r="K2" s="67"/>
    </row>
    <row r="3" spans="1:11" x14ac:dyDescent="0.3">
      <c r="A3" s="3" t="s">
        <v>50</v>
      </c>
      <c r="B3" s="1">
        <v>2.1</v>
      </c>
    </row>
    <row r="4" spans="1:11" x14ac:dyDescent="0.3">
      <c r="A4" s="3"/>
      <c r="B4" s="1" t="str">
        <f>'Data Sheet'!B1&amp;" -"</f>
        <v>INDIAN BANK -</v>
      </c>
    </row>
    <row r="5" spans="1:11" x14ac:dyDescent="0.3">
      <c r="A5" s="3" t="s">
        <v>49</v>
      </c>
    </row>
    <row r="6" spans="1:11" x14ac:dyDescent="0.3">
      <c r="A6" s="1" t="s">
        <v>48</v>
      </c>
      <c r="B6" s="1">
        <f>IF(B9&gt;0, B9/B8, 0)</f>
        <v>134.69635377165861</v>
      </c>
    </row>
    <row r="7" spans="1:11" x14ac:dyDescent="0.3">
      <c r="A7" s="1" t="s">
        <v>47</v>
      </c>
      <c r="B7" s="4">
        <v>10</v>
      </c>
    </row>
    <row r="8" spans="1:11" x14ac:dyDescent="0.3">
      <c r="A8" s="1" t="s">
        <v>46</v>
      </c>
      <c r="B8" s="4">
        <v>857.05</v>
      </c>
      <c r="C8" s="1">
        <f>IFERROR('Data Sheet'!C18,'Data Sheet'!C20:C22)*-1</f>
        <v>0</v>
      </c>
    </row>
    <row r="9" spans="1:11" x14ac:dyDescent="0.3">
      <c r="A9" s="1" t="s">
        <v>45</v>
      </c>
      <c r="B9" s="4">
        <v>115441.51</v>
      </c>
    </row>
    <row r="15" spans="1:11" x14ac:dyDescent="0.3">
      <c r="A15" s="3" t="s">
        <v>44</v>
      </c>
    </row>
    <row r="16" spans="1:11" s="6" customFormat="1" x14ac:dyDescent="0.3">
      <c r="A16" s="8" t="s">
        <v>7</v>
      </c>
      <c r="B16" s="7">
        <v>42825</v>
      </c>
      <c r="C16" s="7">
        <v>43190</v>
      </c>
      <c r="D16" s="7">
        <v>43555</v>
      </c>
      <c r="E16" s="7">
        <v>43921</v>
      </c>
      <c r="F16" s="7">
        <v>44286</v>
      </c>
      <c r="G16" s="7">
        <v>44651</v>
      </c>
      <c r="H16" s="7">
        <v>45016</v>
      </c>
      <c r="I16" s="7">
        <v>45382</v>
      </c>
      <c r="J16" s="7">
        <v>45747</v>
      </c>
      <c r="K16" s="7">
        <v>46112</v>
      </c>
    </row>
    <row r="17" spans="1:11" s="5" customFormat="1" x14ac:dyDescent="0.3">
      <c r="A17" s="5" t="s">
        <v>34</v>
      </c>
      <c r="B17" s="4">
        <v>16039.22</v>
      </c>
      <c r="C17" s="4">
        <v>17115.32</v>
      </c>
      <c r="D17" s="4">
        <v>19182.060000000001</v>
      </c>
      <c r="E17" s="4">
        <v>21401.279999999999</v>
      </c>
      <c r="F17" s="4">
        <v>39108.080000000002</v>
      </c>
      <c r="G17" s="4">
        <v>38888.44</v>
      </c>
      <c r="H17" s="4">
        <v>44985.16</v>
      </c>
      <c r="I17" s="4">
        <v>55649.73</v>
      </c>
      <c r="J17" s="4">
        <v>62039.43</v>
      </c>
      <c r="K17" s="4">
        <v>67504.09</v>
      </c>
    </row>
    <row r="18" spans="1:11" s="5" customFormat="1" x14ac:dyDescent="0.3">
      <c r="A18" s="1" t="s">
        <v>43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s="5" customFormat="1" x14ac:dyDescent="0.3">
      <c r="A19" s="1" t="s">
        <v>42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s="5" customFormat="1" x14ac:dyDescent="0.3">
      <c r="A20" s="1" t="s">
        <v>41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s="5" customFormat="1" x14ac:dyDescent="0.3">
      <c r="A21" s="1" t="s">
        <v>40</v>
      </c>
      <c r="B21" s="4">
        <v>93.6</v>
      </c>
      <c r="C21" s="4">
        <v>94.57</v>
      </c>
      <c r="D21" s="4">
        <v>95.21</v>
      </c>
      <c r="E21" s="4">
        <v>93.96</v>
      </c>
      <c r="F21" s="4">
        <v>201.76</v>
      </c>
      <c r="G21" s="4">
        <v>246.33</v>
      </c>
      <c r="H21" s="4">
        <v>195.34</v>
      </c>
      <c r="I21" s="4">
        <v>252.83</v>
      </c>
      <c r="J21" s="4">
        <v>274.02</v>
      </c>
      <c r="K21" s="4">
        <v>280.32</v>
      </c>
    </row>
    <row r="22" spans="1:11" s="5" customFormat="1" x14ac:dyDescent="0.3">
      <c r="A22" s="1" t="s">
        <v>39</v>
      </c>
      <c r="B22" s="4">
        <v>1996.2</v>
      </c>
      <c r="C22" s="4">
        <v>2105.54</v>
      </c>
      <c r="D22" s="4">
        <v>2228.71</v>
      </c>
      <c r="E22" s="4">
        <v>2479.2800000000002</v>
      </c>
      <c r="F22" s="4">
        <v>6412.39</v>
      </c>
      <c r="G22" s="4">
        <v>6739.61</v>
      </c>
      <c r="H22" s="4">
        <v>7580.41</v>
      </c>
      <c r="I22" s="4">
        <v>9322.06</v>
      </c>
      <c r="J22" s="4">
        <v>9977.08</v>
      </c>
      <c r="K22" s="4">
        <v>10883.62</v>
      </c>
    </row>
    <row r="23" spans="1:11" s="5" customFormat="1" x14ac:dyDescent="0.3">
      <c r="A23" s="1" t="s">
        <v>38</v>
      </c>
      <c r="B23" s="4">
        <v>607.15</v>
      </c>
      <c r="C23" s="4">
        <v>640.96</v>
      </c>
      <c r="D23" s="4">
        <v>706.05</v>
      </c>
      <c r="E23" s="4">
        <v>739.22</v>
      </c>
      <c r="F23" s="4">
        <v>1573.52</v>
      </c>
      <c r="G23" s="4">
        <v>1652.98</v>
      </c>
      <c r="H23" s="4">
        <v>1807.53</v>
      </c>
      <c r="I23" s="4">
        <v>1816.52</v>
      </c>
      <c r="J23" s="4">
        <v>1975.06</v>
      </c>
      <c r="K23" s="4">
        <v>2253.58</v>
      </c>
    </row>
    <row r="24" spans="1:11" s="5" customFormat="1" x14ac:dyDescent="0.3">
      <c r="A24" s="1" t="s">
        <v>37</v>
      </c>
      <c r="B24" s="4">
        <v>3446.62</v>
      </c>
      <c r="C24" s="4">
        <v>4157.2299999999996</v>
      </c>
      <c r="D24" s="4">
        <v>5258.82</v>
      </c>
      <c r="E24" s="4">
        <v>5925.35</v>
      </c>
      <c r="F24" s="4">
        <v>9841.2900000000009</v>
      </c>
      <c r="G24" s="4">
        <v>11645.82</v>
      </c>
      <c r="H24" s="4">
        <v>11993.51</v>
      </c>
      <c r="I24" s="4">
        <v>8951.02</v>
      </c>
      <c r="J24" s="4">
        <v>7592.02</v>
      </c>
      <c r="K24" s="4">
        <v>7292.6</v>
      </c>
    </row>
    <row r="25" spans="1:11" s="5" customFormat="1" x14ac:dyDescent="0.3">
      <c r="A25" s="5" t="s">
        <v>32</v>
      </c>
      <c r="B25" s="4">
        <v>2222.4</v>
      </c>
      <c r="C25" s="4">
        <v>2416.59</v>
      </c>
      <c r="D25" s="4">
        <v>1891.44</v>
      </c>
      <c r="E25" s="4">
        <v>3325.5</v>
      </c>
      <c r="F25" s="4">
        <v>6111.4</v>
      </c>
      <c r="G25" s="4">
        <v>7379.71</v>
      </c>
      <c r="H25" s="4">
        <v>7804.5</v>
      </c>
      <c r="I25" s="4">
        <v>8581.9500000000007</v>
      </c>
      <c r="J25" s="4">
        <v>10011.450000000001</v>
      </c>
      <c r="K25" s="4">
        <v>10828.61</v>
      </c>
    </row>
    <row r="26" spans="1:11" s="5" customFormat="1" x14ac:dyDescent="0.3">
      <c r="A26" s="5" t="s">
        <v>31</v>
      </c>
      <c r="B26" s="4">
        <v>166.24</v>
      </c>
      <c r="C26" s="4">
        <v>236.84</v>
      </c>
      <c r="D26" s="4">
        <v>259.29000000000002</v>
      </c>
      <c r="E26" s="4">
        <v>314.01</v>
      </c>
      <c r="F26" s="4">
        <v>636.9</v>
      </c>
      <c r="G26" s="4">
        <v>600.86</v>
      </c>
      <c r="H26" s="4">
        <v>532.39</v>
      </c>
      <c r="I26" s="4">
        <v>531.14</v>
      </c>
      <c r="J26" s="4">
        <v>542.94000000000005</v>
      </c>
      <c r="K26" s="4">
        <v>608.86</v>
      </c>
    </row>
    <row r="27" spans="1:11" s="5" customFormat="1" x14ac:dyDescent="0.3">
      <c r="A27" s="5" t="s">
        <v>30</v>
      </c>
      <c r="B27" s="4">
        <v>10891.46</v>
      </c>
      <c r="C27" s="4">
        <v>10851.28</v>
      </c>
      <c r="D27" s="4">
        <v>12166.75</v>
      </c>
      <c r="E27" s="4">
        <v>13797.51</v>
      </c>
      <c r="F27" s="4">
        <v>23438.799999999999</v>
      </c>
      <c r="G27" s="4">
        <v>22129.25</v>
      </c>
      <c r="H27" s="4">
        <v>24717.29</v>
      </c>
      <c r="I27" s="4">
        <v>32340.76</v>
      </c>
      <c r="J27" s="4">
        <v>36826.25</v>
      </c>
      <c r="K27" s="4">
        <v>40538.660000000003</v>
      </c>
    </row>
    <row r="28" spans="1:11" s="5" customFormat="1" x14ac:dyDescent="0.3">
      <c r="A28" s="5" t="s">
        <v>29</v>
      </c>
      <c r="B28" s="4">
        <v>1060.3499999999999</v>
      </c>
      <c r="C28" s="4">
        <v>1445.49</v>
      </c>
      <c r="D28" s="4">
        <v>358.67</v>
      </c>
      <c r="E28" s="4">
        <v>1377.45</v>
      </c>
      <c r="F28" s="4">
        <v>3114.82</v>
      </c>
      <c r="G28" s="4">
        <v>3253.3</v>
      </c>
      <c r="H28" s="4">
        <v>5963.19</v>
      </c>
      <c r="I28" s="4">
        <v>11017.35</v>
      </c>
      <c r="J28" s="4">
        <v>14863.51</v>
      </c>
      <c r="K28" s="4">
        <v>16475.060000000001</v>
      </c>
    </row>
    <row r="29" spans="1:11" s="5" customFormat="1" x14ac:dyDescent="0.3">
      <c r="A29" s="5" t="s">
        <v>28</v>
      </c>
      <c r="B29" s="4">
        <v>-352.56</v>
      </c>
      <c r="C29" s="4">
        <v>182.57</v>
      </c>
      <c r="D29" s="4">
        <v>37.74</v>
      </c>
      <c r="E29" s="4">
        <v>619.37</v>
      </c>
      <c r="F29" s="4">
        <v>99.1</v>
      </c>
      <c r="G29" s="4">
        <v>-740.59</v>
      </c>
      <c r="H29" s="4">
        <v>632.71</v>
      </c>
      <c r="I29" s="4">
        <v>2888.2</v>
      </c>
      <c r="J29" s="4">
        <v>3868.64</v>
      </c>
      <c r="K29" s="4">
        <v>4248.07</v>
      </c>
    </row>
    <row r="30" spans="1:11" s="5" customFormat="1" x14ac:dyDescent="0.3">
      <c r="A30" s="5" t="s">
        <v>27</v>
      </c>
      <c r="B30" s="4">
        <v>1453.06</v>
      </c>
      <c r="C30" s="4">
        <v>1310.54</v>
      </c>
      <c r="D30" s="4">
        <v>380.13</v>
      </c>
      <c r="E30" s="4">
        <v>861.34</v>
      </c>
      <c r="F30" s="4">
        <v>3149.15</v>
      </c>
      <c r="G30" s="4">
        <v>4141.8100000000004</v>
      </c>
      <c r="H30" s="4">
        <v>5572.31</v>
      </c>
      <c r="I30" s="4">
        <v>8419.41</v>
      </c>
      <c r="J30" s="4">
        <v>11261.47</v>
      </c>
      <c r="K30" s="4">
        <v>11704.28</v>
      </c>
    </row>
    <row r="31" spans="1:11" s="5" customFormat="1" x14ac:dyDescent="0.3">
      <c r="A31" s="5" t="s">
        <v>36</v>
      </c>
      <c r="B31" s="4">
        <v>288.17</v>
      </c>
      <c r="F31" s="4">
        <v>225.87</v>
      </c>
      <c r="G31" s="4">
        <v>809.54</v>
      </c>
      <c r="H31" s="4">
        <v>1071.08</v>
      </c>
      <c r="I31" s="4">
        <v>1616.35</v>
      </c>
      <c r="J31" s="4">
        <v>2188.81</v>
      </c>
      <c r="K31" s="4">
        <v>2458.1999999999998</v>
      </c>
    </row>
    <row r="32" spans="1:11" s="5" customFormat="1" x14ac:dyDescent="0.3"/>
    <row r="33" spans="1:11" x14ac:dyDescent="0.3">
      <c r="A33" s="5"/>
    </row>
    <row r="34" spans="1:11" x14ac:dyDescent="0.3">
      <c r="A34" s="5"/>
    </row>
    <row r="35" spans="1:11" x14ac:dyDescent="0.3">
      <c r="A35" s="5"/>
    </row>
    <row r="36" spans="1:11" x14ac:dyDescent="0.3">
      <c r="A36" s="5"/>
    </row>
    <row r="37" spans="1:11" x14ac:dyDescent="0.3">
      <c r="A37" s="5"/>
    </row>
    <row r="38" spans="1:11" x14ac:dyDescent="0.3">
      <c r="A38" s="5"/>
    </row>
    <row r="39" spans="1:11" x14ac:dyDescent="0.3">
      <c r="A39" s="5"/>
    </row>
    <row r="40" spans="1:11" x14ac:dyDescent="0.3">
      <c r="A40" s="3" t="s">
        <v>35</v>
      </c>
    </row>
    <row r="41" spans="1:11" s="6" customFormat="1" x14ac:dyDescent="0.3">
      <c r="A41" s="8" t="s">
        <v>7</v>
      </c>
      <c r="B41" s="7">
        <v>45382</v>
      </c>
      <c r="C41" s="7">
        <v>45473</v>
      </c>
      <c r="D41" s="7">
        <v>45565</v>
      </c>
      <c r="E41" s="7">
        <v>45657</v>
      </c>
      <c r="F41" s="7">
        <v>45747</v>
      </c>
      <c r="G41" s="7">
        <v>45838</v>
      </c>
      <c r="H41" s="7">
        <v>45930</v>
      </c>
      <c r="I41" s="7">
        <v>46022</v>
      </c>
      <c r="J41" s="7">
        <v>46112</v>
      </c>
      <c r="K41" s="7">
        <v>46203</v>
      </c>
    </row>
    <row r="42" spans="1:11" s="5" customFormat="1" x14ac:dyDescent="0.3">
      <c r="A42" s="5" t="s">
        <v>34</v>
      </c>
      <c r="B42" s="4">
        <v>14633.41</v>
      </c>
      <c r="C42" s="4">
        <v>15040.63</v>
      </c>
      <c r="D42" s="4">
        <v>15369.01</v>
      </c>
      <c r="E42" s="4">
        <v>15770.16</v>
      </c>
      <c r="F42" s="4">
        <v>15859.63</v>
      </c>
      <c r="G42" s="4">
        <v>16285.1</v>
      </c>
      <c r="H42" s="4">
        <v>16628.28</v>
      </c>
      <c r="I42" s="4">
        <v>17102.21</v>
      </c>
      <c r="J42" s="4">
        <v>17488.5</v>
      </c>
      <c r="K42" s="4">
        <v>18095.14</v>
      </c>
    </row>
    <row r="43" spans="1:11" s="5" customFormat="1" x14ac:dyDescent="0.3">
      <c r="A43" s="5" t="s">
        <v>33</v>
      </c>
      <c r="B43" s="4">
        <v>5378.16</v>
      </c>
      <c r="C43" s="4">
        <v>4994.32</v>
      </c>
      <c r="D43" s="4">
        <v>5143.7299999999996</v>
      </c>
      <c r="E43" s="4">
        <v>5101.71</v>
      </c>
      <c r="F43" s="4">
        <v>5097.49</v>
      </c>
      <c r="G43" s="4">
        <v>4880.1499999999996</v>
      </c>
      <c r="H43" s="4">
        <v>5108.3900000000003</v>
      </c>
      <c r="I43" s="4">
        <v>5492.5</v>
      </c>
      <c r="J43" s="4">
        <v>5811.46</v>
      </c>
      <c r="K43" s="4">
        <v>5946.06</v>
      </c>
    </row>
    <row r="44" spans="1:11" s="5" customFormat="1" x14ac:dyDescent="0.3">
      <c r="A44" s="5" t="s">
        <v>32</v>
      </c>
      <c r="B44" s="4">
        <v>2432.08</v>
      </c>
      <c r="C44" s="4">
        <v>2077.13</v>
      </c>
      <c r="D44" s="4">
        <v>2602.21</v>
      </c>
      <c r="E44" s="4">
        <v>2397.38</v>
      </c>
      <c r="F44" s="4">
        <v>2934.73</v>
      </c>
      <c r="G44" s="4">
        <v>1853.91</v>
      </c>
      <c r="H44" s="4">
        <v>2642.81</v>
      </c>
      <c r="I44" s="4">
        <v>2792.57</v>
      </c>
      <c r="J44" s="4">
        <v>2772.73</v>
      </c>
      <c r="K44" s="4">
        <v>2902.24</v>
      </c>
    </row>
    <row r="45" spans="1:11" s="5" customFormat="1" x14ac:dyDescent="0.3">
      <c r="A45" s="5" t="s">
        <v>31</v>
      </c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 s="5" customFormat="1" x14ac:dyDescent="0.3">
      <c r="A46" s="5" t="s">
        <v>30</v>
      </c>
      <c r="B46" s="4">
        <v>8609.1299999999992</v>
      </c>
      <c r="C46" s="4">
        <v>8860.51</v>
      </c>
      <c r="D46" s="4">
        <v>9153.5</v>
      </c>
      <c r="E46" s="4">
        <v>9345.18</v>
      </c>
      <c r="F46" s="4">
        <v>9467.06</v>
      </c>
      <c r="G46" s="4">
        <v>9924.09</v>
      </c>
      <c r="H46" s="4">
        <v>10039.709999999999</v>
      </c>
      <c r="I46" s="4">
        <v>10202.9</v>
      </c>
      <c r="J46" s="4">
        <v>10371.959999999999</v>
      </c>
      <c r="K46" s="4">
        <v>10656.86</v>
      </c>
    </row>
    <row r="47" spans="1:11" s="5" customFormat="1" x14ac:dyDescent="0.3">
      <c r="A47" s="5" t="s">
        <v>29</v>
      </c>
      <c r="B47" s="4">
        <v>3078.2</v>
      </c>
      <c r="C47" s="4">
        <v>3262.93</v>
      </c>
      <c r="D47" s="4">
        <v>3673.99</v>
      </c>
      <c r="E47" s="4">
        <v>3720.65</v>
      </c>
      <c r="F47" s="4">
        <v>4229.8100000000004</v>
      </c>
      <c r="G47" s="4">
        <v>3334.77</v>
      </c>
      <c r="H47" s="4">
        <v>4122.99</v>
      </c>
      <c r="I47" s="4">
        <v>4199.38</v>
      </c>
      <c r="J47" s="4">
        <v>4077.81</v>
      </c>
      <c r="K47" s="4">
        <v>4394.46</v>
      </c>
    </row>
    <row r="48" spans="1:11" s="5" customFormat="1" x14ac:dyDescent="0.3">
      <c r="A48" s="5" t="s">
        <v>28</v>
      </c>
      <c r="B48" s="4">
        <v>817.89</v>
      </c>
      <c r="C48" s="4">
        <v>845.63</v>
      </c>
      <c r="D48" s="4">
        <v>933.96</v>
      </c>
      <c r="E48" s="4">
        <v>844.5</v>
      </c>
      <c r="F48" s="4">
        <v>1268.42</v>
      </c>
      <c r="G48" s="4">
        <v>1116.26</v>
      </c>
      <c r="H48" s="4">
        <v>1082.46</v>
      </c>
      <c r="I48" s="4">
        <v>1113.22</v>
      </c>
      <c r="J48" s="4">
        <v>962.61</v>
      </c>
      <c r="K48" s="4">
        <v>1094.98</v>
      </c>
    </row>
    <row r="49" spans="1:11" s="5" customFormat="1" x14ac:dyDescent="0.3">
      <c r="A49" s="5" t="s">
        <v>27</v>
      </c>
      <c r="B49" s="4">
        <v>2295.61</v>
      </c>
      <c r="C49" s="4">
        <v>2570.4</v>
      </c>
      <c r="D49" s="4">
        <v>2799.7</v>
      </c>
      <c r="E49" s="4">
        <v>2909.73</v>
      </c>
      <c r="F49" s="4">
        <v>2981.64</v>
      </c>
      <c r="G49" s="4">
        <v>2276.37</v>
      </c>
      <c r="H49" s="4">
        <v>3107.97</v>
      </c>
      <c r="I49" s="4">
        <v>3146.88</v>
      </c>
      <c r="J49" s="4">
        <v>3173.05</v>
      </c>
      <c r="K49" s="4">
        <v>3356.63</v>
      </c>
    </row>
    <row r="50" spans="1:11" x14ac:dyDescent="0.3">
      <c r="A50" s="5" t="s">
        <v>26</v>
      </c>
      <c r="B50" s="4">
        <v>9255.25</v>
      </c>
      <c r="C50" s="4">
        <v>10046.31</v>
      </c>
      <c r="D50" s="4">
        <v>10225.280000000001</v>
      </c>
      <c r="E50" s="4">
        <v>10668.45</v>
      </c>
      <c r="F50" s="4">
        <v>10762.14</v>
      </c>
      <c r="G50" s="4">
        <v>11404.95</v>
      </c>
      <c r="H50" s="4">
        <v>11519.89</v>
      </c>
      <c r="I50" s="4">
        <v>11609.71</v>
      </c>
      <c r="J50" s="4">
        <v>11677.04</v>
      </c>
      <c r="K50" s="4">
        <v>12149.08</v>
      </c>
    </row>
    <row r="51" spans="1:11" x14ac:dyDescent="0.3">
      <c r="A51" s="3" t="s">
        <v>25</v>
      </c>
      <c r="B51" s="9">
        <v>16892.02</v>
      </c>
      <c r="C51" s="9">
        <v>20164.599999999999</v>
      </c>
      <c r="D51" s="9">
        <v>19850</v>
      </c>
      <c r="E51" s="9">
        <v>20404</v>
      </c>
      <c r="F51" s="9">
        <v>22268</v>
      </c>
      <c r="G51" s="9">
        <v>23828</v>
      </c>
      <c r="H51" s="9">
        <v>22359</v>
      </c>
      <c r="I51" s="9">
        <v>18164</v>
      </c>
      <c r="J51" s="9">
        <v>17822</v>
      </c>
      <c r="K51" s="9">
        <v>22113</v>
      </c>
    </row>
    <row r="52" spans="1:11" x14ac:dyDescent="0.3">
      <c r="A52" s="5"/>
    </row>
    <row r="53" spans="1:11" x14ac:dyDescent="0.3">
      <c r="A53" s="5"/>
    </row>
    <row r="54" spans="1:11" x14ac:dyDescent="0.3">
      <c r="A54" s="5"/>
    </row>
    <row r="55" spans="1:11" x14ac:dyDescent="0.3">
      <c r="A55" s="3" t="s">
        <v>24</v>
      </c>
    </row>
    <row r="56" spans="1:11" s="6" customFormat="1" x14ac:dyDescent="0.3">
      <c r="A56" s="8" t="s">
        <v>7</v>
      </c>
      <c r="B56" s="7">
        <v>42825</v>
      </c>
      <c r="C56" s="7">
        <v>43190</v>
      </c>
      <c r="D56" s="7">
        <v>43555</v>
      </c>
      <c r="E56" s="7">
        <v>43921</v>
      </c>
      <c r="F56" s="7">
        <v>44286</v>
      </c>
      <c r="G56" s="7">
        <v>44651</v>
      </c>
      <c r="H56" s="7">
        <v>45016</v>
      </c>
      <c r="I56" s="7">
        <v>45382</v>
      </c>
      <c r="J56" s="7">
        <v>45747</v>
      </c>
      <c r="K56" s="7">
        <v>46112</v>
      </c>
    </row>
    <row r="57" spans="1:11" x14ac:dyDescent="0.3">
      <c r="A57" s="5" t="s">
        <v>23</v>
      </c>
      <c r="B57" s="4">
        <v>480.29</v>
      </c>
      <c r="C57" s="4">
        <v>480.29</v>
      </c>
      <c r="D57" s="4">
        <v>480.29</v>
      </c>
      <c r="E57" s="4">
        <v>608.79999999999995</v>
      </c>
      <c r="F57" s="4">
        <v>1129.3699999999999</v>
      </c>
      <c r="G57" s="4">
        <v>1245.44</v>
      </c>
      <c r="H57" s="4">
        <v>1245.44</v>
      </c>
      <c r="I57" s="4">
        <v>1346.96</v>
      </c>
      <c r="J57" s="4">
        <v>1346.96</v>
      </c>
      <c r="K57" s="4">
        <v>1346.96</v>
      </c>
    </row>
    <row r="58" spans="1:11" x14ac:dyDescent="0.3">
      <c r="A58" s="5" t="s">
        <v>22</v>
      </c>
      <c r="B58" s="4">
        <v>16953.55</v>
      </c>
      <c r="C58" s="4">
        <v>18235.150000000001</v>
      </c>
      <c r="D58" s="4">
        <v>19235.169999999998</v>
      </c>
      <c r="E58" s="4">
        <v>22158.78</v>
      </c>
      <c r="F58" s="4">
        <v>38328.699999999997</v>
      </c>
      <c r="G58" s="4">
        <v>43706.49</v>
      </c>
      <c r="H58" s="4">
        <v>48261.38</v>
      </c>
      <c r="I58" s="4">
        <v>58901.24</v>
      </c>
      <c r="J58" s="4">
        <v>70165.95</v>
      </c>
      <c r="K58" s="4">
        <v>78695.92</v>
      </c>
    </row>
    <row r="59" spans="1:11" x14ac:dyDescent="0.3">
      <c r="A59" s="5" t="s">
        <v>21</v>
      </c>
      <c r="B59" s="4">
        <v>195116.93</v>
      </c>
      <c r="C59" s="4">
        <v>228021.98</v>
      </c>
      <c r="D59" s="4">
        <v>254178.34</v>
      </c>
      <c r="E59" s="4">
        <v>281014.71000000002</v>
      </c>
      <c r="F59" s="4">
        <v>562792.56999999995</v>
      </c>
      <c r="G59" s="4">
        <v>610788.4</v>
      </c>
      <c r="H59" s="4">
        <v>643215.65</v>
      </c>
      <c r="I59" s="4">
        <v>711095.95</v>
      </c>
      <c r="J59" s="4">
        <v>778650.62</v>
      </c>
      <c r="K59" s="4">
        <v>874460.58</v>
      </c>
    </row>
    <row r="60" spans="1:11" x14ac:dyDescent="0.3">
      <c r="A60" s="5" t="s">
        <v>20</v>
      </c>
      <c r="B60" s="4">
        <v>5956.67</v>
      </c>
      <c r="C60" s="4">
        <v>6243.99</v>
      </c>
      <c r="D60" s="4">
        <v>6494.48</v>
      </c>
      <c r="E60" s="4">
        <v>6358.67</v>
      </c>
      <c r="F60" s="4">
        <v>23284.53</v>
      </c>
      <c r="G60" s="4">
        <v>18356.099999999999</v>
      </c>
      <c r="H60" s="4">
        <v>20611.53</v>
      </c>
      <c r="I60" s="4">
        <v>24364.67</v>
      </c>
      <c r="J60" s="4">
        <v>26875.07</v>
      </c>
      <c r="K60" s="4">
        <v>37049.33</v>
      </c>
    </row>
    <row r="61" spans="1:11" s="3" customFormat="1" x14ac:dyDescent="0.3">
      <c r="A61" s="3" t="s">
        <v>15</v>
      </c>
      <c r="B61" s="4">
        <v>218507.44</v>
      </c>
      <c r="C61" s="4">
        <v>252981.41</v>
      </c>
      <c r="D61" s="4">
        <v>280388.28000000003</v>
      </c>
      <c r="E61" s="4">
        <v>310140.96000000002</v>
      </c>
      <c r="F61" s="4">
        <v>625535.17000000004</v>
      </c>
      <c r="G61" s="4">
        <v>674096.43</v>
      </c>
      <c r="H61" s="4">
        <v>713334</v>
      </c>
      <c r="I61" s="4">
        <v>795708.82</v>
      </c>
      <c r="J61" s="4">
        <v>877038.6</v>
      </c>
      <c r="K61" s="4">
        <v>991552.79</v>
      </c>
    </row>
    <row r="62" spans="1:11" x14ac:dyDescent="0.3">
      <c r="A62" s="5" t="s">
        <v>19</v>
      </c>
      <c r="B62" s="4">
        <v>3436.04</v>
      </c>
      <c r="C62" s="4">
        <v>3421.47</v>
      </c>
      <c r="D62" s="4">
        <v>3964.23</v>
      </c>
      <c r="E62" s="4">
        <v>3898.3</v>
      </c>
      <c r="F62" s="4">
        <v>7392.13</v>
      </c>
      <c r="G62" s="4">
        <v>7693.78</v>
      </c>
      <c r="H62" s="4">
        <v>7471.6</v>
      </c>
      <c r="I62" s="4">
        <v>7537.62</v>
      </c>
      <c r="J62" s="4">
        <v>8854.3799999999992</v>
      </c>
      <c r="K62" s="4">
        <v>8674</v>
      </c>
    </row>
    <row r="63" spans="1:11" x14ac:dyDescent="0.3">
      <c r="A63" s="5" t="s">
        <v>18</v>
      </c>
      <c r="B63" s="4">
        <v>10.64</v>
      </c>
      <c r="C63" s="4">
        <v>0.61</v>
      </c>
      <c r="D63" s="4">
        <v>0.76</v>
      </c>
      <c r="E63" s="4">
        <v>0.78</v>
      </c>
      <c r="F63" s="4">
        <v>0.43</v>
      </c>
      <c r="G63" s="4">
        <v>5.13</v>
      </c>
      <c r="H63" s="4">
        <v>9.07</v>
      </c>
      <c r="I63" s="4">
        <v>2.2799999999999998</v>
      </c>
      <c r="J63" s="4">
        <v>2.95</v>
      </c>
      <c r="K63" s="4">
        <v>2.81</v>
      </c>
    </row>
    <row r="64" spans="1:11" x14ac:dyDescent="0.3">
      <c r="A64" s="5" t="s">
        <v>17</v>
      </c>
      <c r="B64" s="4">
        <v>67781.19</v>
      </c>
      <c r="C64" s="4">
        <v>71619.14</v>
      </c>
      <c r="D64" s="4">
        <v>65271.55</v>
      </c>
      <c r="E64" s="4">
        <v>81871.16</v>
      </c>
      <c r="F64" s="4">
        <v>178292.44</v>
      </c>
      <c r="G64" s="4">
        <v>176501.61</v>
      </c>
      <c r="H64" s="4">
        <v>188366.28</v>
      </c>
      <c r="I64" s="4">
        <v>215241.82</v>
      </c>
      <c r="J64" s="4">
        <v>228420.86</v>
      </c>
      <c r="K64" s="4">
        <v>247682.04</v>
      </c>
    </row>
    <row r="65" spans="1:11" x14ac:dyDescent="0.3">
      <c r="A65" s="5" t="s">
        <v>16</v>
      </c>
      <c r="B65" s="4">
        <v>147279.57</v>
      </c>
      <c r="C65" s="4">
        <v>177940.19</v>
      </c>
      <c r="D65" s="4">
        <v>211151.74</v>
      </c>
      <c r="E65" s="4">
        <v>224370.72</v>
      </c>
      <c r="F65" s="4">
        <v>439850.17</v>
      </c>
      <c r="G65" s="4">
        <v>489895.91</v>
      </c>
      <c r="H65" s="4">
        <v>517487.05</v>
      </c>
      <c r="I65" s="4">
        <v>572927.1</v>
      </c>
      <c r="J65" s="4">
        <v>639760.41</v>
      </c>
      <c r="K65" s="4">
        <v>735193.94</v>
      </c>
    </row>
    <row r="66" spans="1:11" s="3" customFormat="1" x14ac:dyDescent="0.3">
      <c r="A66" s="3" t="s">
        <v>15</v>
      </c>
      <c r="B66" s="4">
        <v>218507.44</v>
      </c>
      <c r="C66" s="4">
        <v>252981.41</v>
      </c>
      <c r="D66" s="4">
        <v>280388.28000000003</v>
      </c>
      <c r="E66" s="4">
        <v>310140.96000000002</v>
      </c>
      <c r="F66" s="4">
        <v>625535.17000000004</v>
      </c>
      <c r="G66" s="4">
        <v>674096.43</v>
      </c>
      <c r="H66" s="4">
        <v>713334</v>
      </c>
      <c r="I66" s="4">
        <v>795708.82</v>
      </c>
      <c r="J66" s="4">
        <v>877038.6</v>
      </c>
      <c r="K66" s="4">
        <v>991552.79</v>
      </c>
    </row>
    <row r="67" spans="1:11" s="5" customFormat="1" x14ac:dyDescent="0.3">
      <c r="A67" s="5" t="s">
        <v>14</v>
      </c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 x14ac:dyDescent="0.3">
      <c r="A68" s="5" t="s">
        <v>13</v>
      </c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 x14ac:dyDescent="0.3">
      <c r="A69" s="1" t="s">
        <v>12</v>
      </c>
      <c r="B69" s="4">
        <v>5588.7</v>
      </c>
      <c r="C69" s="4">
        <v>10501.6</v>
      </c>
      <c r="D69" s="4">
        <v>11701.87</v>
      </c>
      <c r="E69" s="4">
        <v>5736.12</v>
      </c>
      <c r="F69" s="4">
        <v>27545.18</v>
      </c>
      <c r="G69" s="4">
        <v>58554.66</v>
      </c>
      <c r="H69" s="4">
        <v>32692.73</v>
      </c>
      <c r="I69" s="4">
        <v>32702.76</v>
      </c>
      <c r="J69" s="4">
        <v>31947.65</v>
      </c>
      <c r="K69" s="4">
        <v>34054.92</v>
      </c>
    </row>
    <row r="70" spans="1:11" x14ac:dyDescent="0.3">
      <c r="A70" s="1" t="s">
        <v>11</v>
      </c>
      <c r="B70" s="4">
        <v>480291651</v>
      </c>
      <c r="C70" s="4">
        <v>480291651</v>
      </c>
      <c r="D70" s="4">
        <v>480291651</v>
      </c>
      <c r="E70" s="4">
        <v>608800580</v>
      </c>
      <c r="F70" s="4">
        <v>1129366570</v>
      </c>
      <c r="G70" s="4">
        <v>1245441139</v>
      </c>
      <c r="H70" s="4">
        <v>1245441139</v>
      </c>
      <c r="I70" s="4">
        <v>1346963981</v>
      </c>
      <c r="J70" s="4">
        <v>1346963981</v>
      </c>
      <c r="K70" s="4">
        <v>1346963981</v>
      </c>
    </row>
    <row r="71" spans="1:11" x14ac:dyDescent="0.3">
      <c r="A71" s="1" t="s">
        <v>10</v>
      </c>
    </row>
    <row r="72" spans="1:11" x14ac:dyDescent="0.3">
      <c r="A72" s="1" t="s">
        <v>9</v>
      </c>
      <c r="B72" s="4">
        <v>10</v>
      </c>
      <c r="C72" s="4">
        <v>10</v>
      </c>
      <c r="D72" s="4">
        <v>10</v>
      </c>
      <c r="E72" s="4">
        <v>10</v>
      </c>
      <c r="F72" s="4">
        <v>10</v>
      </c>
      <c r="G72" s="4">
        <v>10</v>
      </c>
      <c r="H72" s="4">
        <v>10</v>
      </c>
      <c r="I72" s="4">
        <v>10</v>
      </c>
      <c r="J72" s="4">
        <v>10</v>
      </c>
      <c r="K72" s="4">
        <v>10</v>
      </c>
    </row>
    <row r="74" spans="1:11" x14ac:dyDescent="0.3">
      <c r="A74" s="5"/>
    </row>
    <row r="75" spans="1:11" x14ac:dyDescent="0.3">
      <c r="A75" s="5"/>
    </row>
    <row r="76" spans="1:11" x14ac:dyDescent="0.3">
      <c r="A76" s="5"/>
    </row>
    <row r="77" spans="1:11" x14ac:dyDescent="0.3">
      <c r="A77" s="5"/>
    </row>
    <row r="78" spans="1:11" x14ac:dyDescent="0.3">
      <c r="A78" s="5"/>
    </row>
    <row r="79" spans="1:11" x14ac:dyDescent="0.3">
      <c r="A79" s="5"/>
    </row>
    <row r="80" spans="1:11" x14ac:dyDescent="0.3">
      <c r="A80" s="3" t="s">
        <v>8</v>
      </c>
    </row>
    <row r="81" spans="1:11" s="6" customFormat="1" x14ac:dyDescent="0.3">
      <c r="A81" s="8" t="s">
        <v>7</v>
      </c>
      <c r="B81" s="7">
        <v>42825</v>
      </c>
      <c r="C81" s="7">
        <v>43190</v>
      </c>
      <c r="D81" s="7">
        <v>43555</v>
      </c>
      <c r="E81" s="7">
        <v>43921</v>
      </c>
      <c r="F81" s="7">
        <v>44286</v>
      </c>
      <c r="G81" s="7">
        <v>44651</v>
      </c>
      <c r="H81" s="7">
        <v>45016</v>
      </c>
      <c r="I81" s="7">
        <v>45382</v>
      </c>
      <c r="J81" s="7">
        <v>45747</v>
      </c>
      <c r="K81" s="7">
        <v>46112</v>
      </c>
    </row>
    <row r="82" spans="1:11" s="3" customFormat="1" x14ac:dyDescent="0.3">
      <c r="A82" s="5" t="s">
        <v>6</v>
      </c>
      <c r="B82" s="4">
        <v>-10813.85</v>
      </c>
      <c r="C82" s="4">
        <v>-3675.79</v>
      </c>
      <c r="D82" s="4">
        <v>6269.85</v>
      </c>
      <c r="E82" s="4">
        <v>-8396.17</v>
      </c>
      <c r="F82" s="4">
        <v>17064.55</v>
      </c>
      <c r="G82" s="4">
        <v>28750.33</v>
      </c>
      <c r="H82" s="4">
        <v>-27893.99</v>
      </c>
      <c r="I82" s="4">
        <v>-8617.26</v>
      </c>
      <c r="J82" s="4">
        <v>17396.400000000001</v>
      </c>
      <c r="K82" s="4">
        <v>18815.48</v>
      </c>
    </row>
    <row r="83" spans="1:11" s="5" customFormat="1" x14ac:dyDescent="0.3">
      <c r="A83" s="5" t="s">
        <v>5</v>
      </c>
      <c r="B83" s="4">
        <v>-179.37</v>
      </c>
      <c r="C83" s="4">
        <v>-214.38</v>
      </c>
      <c r="D83" s="4">
        <v>-175.73</v>
      </c>
      <c r="E83" s="4">
        <v>-247.37</v>
      </c>
      <c r="F83" s="4">
        <v>21232.98</v>
      </c>
      <c r="G83" s="4">
        <v>-304.69</v>
      </c>
      <c r="H83" s="4">
        <v>-313.98</v>
      </c>
      <c r="I83" s="4">
        <v>-617.70000000000005</v>
      </c>
      <c r="J83" s="4">
        <v>-348.4</v>
      </c>
      <c r="K83" s="4">
        <v>-428.07</v>
      </c>
    </row>
    <row r="84" spans="1:11" s="5" customFormat="1" x14ac:dyDescent="0.3">
      <c r="A84" s="5" t="s">
        <v>4</v>
      </c>
      <c r="B84" s="4">
        <v>9040.86</v>
      </c>
      <c r="C84" s="4">
        <v>6776.44</v>
      </c>
      <c r="D84" s="4">
        <v>1000</v>
      </c>
      <c r="E84" s="4">
        <v>2552.42</v>
      </c>
      <c r="F84" s="4">
        <v>1865.55</v>
      </c>
      <c r="G84" s="4">
        <v>18.43</v>
      </c>
      <c r="H84" s="4">
        <v>-1543.42</v>
      </c>
      <c r="I84" s="4">
        <v>1195.04</v>
      </c>
      <c r="J84" s="4">
        <v>-4263.51</v>
      </c>
      <c r="K84" s="4">
        <v>-7649.12</v>
      </c>
    </row>
    <row r="85" spans="1:11" s="3" customFormat="1" x14ac:dyDescent="0.3">
      <c r="A85" s="5" t="s">
        <v>3</v>
      </c>
      <c r="B85" s="4">
        <v>-1952.36</v>
      </c>
      <c r="C85" s="4">
        <v>2886.27</v>
      </c>
      <c r="D85" s="4">
        <v>7094.12</v>
      </c>
      <c r="E85" s="4">
        <v>-6091.12</v>
      </c>
      <c r="F85" s="4">
        <v>40163.08</v>
      </c>
      <c r="G85" s="4">
        <v>28464.07</v>
      </c>
      <c r="H85" s="4">
        <v>-29751.39</v>
      </c>
      <c r="I85" s="4">
        <v>-8039.92</v>
      </c>
      <c r="J85" s="4">
        <v>12784.49</v>
      </c>
      <c r="K85" s="4">
        <v>10738.29</v>
      </c>
    </row>
    <row r="86" spans="1:11" x14ac:dyDescent="0.3">
      <c r="A86" s="5"/>
    </row>
    <row r="87" spans="1:11" x14ac:dyDescent="0.3">
      <c r="A87" s="5"/>
    </row>
    <row r="88" spans="1:11" x14ac:dyDescent="0.3">
      <c r="A88" s="5"/>
    </row>
    <row r="89" spans="1:11" x14ac:dyDescent="0.3">
      <c r="A89" s="5"/>
    </row>
    <row r="90" spans="1:11" s="3" customFormat="1" x14ac:dyDescent="0.3">
      <c r="A90" s="3" t="s">
        <v>2</v>
      </c>
      <c r="B90" s="4">
        <v>278.25</v>
      </c>
      <c r="C90" s="4">
        <v>299.8</v>
      </c>
      <c r="D90" s="4">
        <v>280.10000000000002</v>
      </c>
      <c r="E90" s="4">
        <v>43.1</v>
      </c>
      <c r="F90" s="4">
        <v>116.1</v>
      </c>
      <c r="G90" s="4">
        <v>153.9</v>
      </c>
      <c r="H90" s="4">
        <v>288.55</v>
      </c>
      <c r="I90" s="4">
        <v>520.70000000000005</v>
      </c>
      <c r="J90" s="4">
        <v>541.29999999999995</v>
      </c>
      <c r="K90" s="4">
        <v>845.7</v>
      </c>
    </row>
    <row r="92" spans="1:11" s="3" customFormat="1" x14ac:dyDescent="0.3">
      <c r="A92" s="3" t="s">
        <v>1</v>
      </c>
    </row>
    <row r="93" spans="1:11" x14ac:dyDescent="0.3">
      <c r="A93" s="1" t="s">
        <v>0</v>
      </c>
      <c r="B93" s="2">
        <v>48.03</v>
      </c>
      <c r="C93" s="2">
        <v>48.03</v>
      </c>
      <c r="D93" s="2">
        <v>48.03</v>
      </c>
      <c r="E93" s="2">
        <v>60.88</v>
      </c>
      <c r="F93" s="2">
        <v>112.94</v>
      </c>
      <c r="G93" s="2">
        <v>124.54</v>
      </c>
      <c r="H93" s="2">
        <v>124.54</v>
      </c>
      <c r="I93" s="2">
        <v>134.69999999999999</v>
      </c>
      <c r="J93" s="2">
        <v>134.69999999999999</v>
      </c>
      <c r="K93" s="2">
        <v>134.69999999999999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26B06FF6-6C52-47D2-918D-8969CE6647C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DCF Model</vt:lpstr>
      <vt:lpstr>Comps</vt:lpstr>
      <vt:lpstr>Data Sheet</vt:lpstr>
      <vt:lpstr>Taper_rate</vt:lpstr>
      <vt:lpstr>Tax_rate</vt:lpstr>
      <vt:lpstr>'Data Sheet'!UPDATE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Talib Shaikh</dc:creator>
  <cp:lastModifiedBy>Talib Shaikh</cp:lastModifiedBy>
  <dcterms:created xsi:type="dcterms:W3CDTF">2026-09-08T11:54:54Z</dcterms:created>
  <dcterms:modified xsi:type="dcterms:W3CDTF">2026-09-23T08:44:48Z</dcterms:modified>
</cp:coreProperties>
</file>