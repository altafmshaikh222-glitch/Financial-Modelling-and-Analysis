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19" documentId="11_FE4FB099059E3DD271C538FA96737E62F7B6F8A7" xr6:coauthVersionLast="47" xr6:coauthVersionMax="47" xr10:uidLastSave="{BAB2C465-3C57-49B8-B343-87A2C9C5B568}"/>
  <bookViews>
    <workbookView xWindow="-110" yWindow="-110" windowWidth="19420" windowHeight="10420" firstSheet="1" activeTab="5" xr2:uid="{00000000-000D-0000-FFFF-FFFF00000000}"/>
  </bookViews>
  <sheets>
    <sheet name="Financials&gt;" sheetId="1" r:id="rId1"/>
    <sheet name="HistoricalFS" sheetId="4" r:id="rId2"/>
    <sheet name="Ratio Analysis" sheetId="6" r:id="rId3"/>
    <sheet name="Foreacasting" sheetId="7" r:id="rId4"/>
    <sheet name="Data&gt;" sheetId="3" r:id="rId5"/>
    <sheet name="Data Sheet" sheetId="8" r:id="rId6"/>
    <sheet name="Cash Flow statement" sheetId="5" r:id="rId7"/>
  </sheets>
  <externalReferences>
    <externalReference r:id="rId8"/>
  </externalReferences>
  <definedNames>
    <definedName name="Beta">'[1]Simplification&gt;'!$C$5</definedName>
    <definedName name="Cost_Of_debt">'[1]Simplify using Name'!$C$9</definedName>
    <definedName name="Cost_Of_equity">'[1]Simplify using Name'!$C$7</definedName>
    <definedName name="CostofDebt">'[1]Simplification&gt;'!$C$6</definedName>
    <definedName name="Current_Sales">'[1]Simplify using Name'!$G$8</definedName>
    <definedName name="Debt_Funding">'[1]Simplify using Name'!$C$16</definedName>
    <definedName name="Debt_Value">'[1]Simplify using Name'!$C$14</definedName>
    <definedName name="DebtValue">'[1]Simplification&gt;'!$C$9</definedName>
    <definedName name="Equity_Funding">'[1]Simplify using Name'!$C$15</definedName>
    <definedName name="Equity_Value">'[1]Simplify using Name'!$C$13</definedName>
    <definedName name="EquityValue">'[1]Simplification&gt;'!$C$8</definedName>
    <definedName name="Gross_Margin">'[1]Simplify using Name'!$G$10</definedName>
    <definedName name="MarketReturn">'[1]Simplification&gt;'!$C$4</definedName>
    <definedName name="Post_Tax_Cost_of_Debt">'[1]Simplify using Name'!$C$11</definedName>
    <definedName name="Riskfreerate">'[1]Simplification&gt;'!$C$3</definedName>
    <definedName name="Sales_Growth">'[1]Simplify using Name'!$G$9</definedName>
    <definedName name="Tax_Rate">'[1]Simplify using Name'!$C$10</definedName>
    <definedName name="TAXRate">'[1]Simplification&gt;'!$C$7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8" l="1"/>
  <c r="B4" i="8"/>
  <c r="B6" i="8"/>
  <c r="C8" i="8"/>
  <c r="L4" i="7"/>
  <c r="C6" i="7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G4" i="7"/>
  <c r="B4" i="7"/>
  <c r="D6" i="7" a="1"/>
  <c r="D6" i="7" s="1"/>
  <c r="D10" i="7" l="1"/>
  <c r="D13" i="7"/>
  <c r="D9" i="7"/>
  <c r="D12" i="7"/>
  <c r="D8" i="7"/>
  <c r="D14" i="7"/>
  <c r="E14" i="7" s="1"/>
  <c r="D15" i="7"/>
  <c r="D11" i="7"/>
  <c r="D7" i="7"/>
  <c r="E15" i="7" l="1"/>
  <c r="E10" i="7"/>
  <c r="D18" i="7"/>
  <c r="D22" i="7"/>
  <c r="D19" i="7"/>
  <c r="E19" i="7" s="1"/>
  <c r="D16" i="7"/>
  <c r="E16" i="7" s="1"/>
  <c r="D20" i="7"/>
  <c r="E7" i="7"/>
  <c r="E8" i="7"/>
  <c r="E11" i="7"/>
  <c r="E12" i="7"/>
  <c r="D21" i="7"/>
  <c r="E21" i="7" s="1"/>
  <c r="E9" i="7"/>
  <c r="D17" i="7"/>
  <c r="E13" i="7"/>
  <c r="E17" i="7" l="1"/>
  <c r="E22" i="7"/>
  <c r="E20" i="7"/>
  <c r="E18" i="7"/>
  <c r="L77" i="4" l="1"/>
  <c r="K77" i="4"/>
  <c r="J77" i="4"/>
  <c r="I77" i="4"/>
  <c r="H77" i="4"/>
  <c r="G77" i="4"/>
  <c r="F77" i="4"/>
  <c r="E77" i="4"/>
  <c r="D77" i="4"/>
  <c r="C77" i="4"/>
  <c r="L76" i="4"/>
  <c r="K76" i="4"/>
  <c r="J76" i="4"/>
  <c r="I76" i="4"/>
  <c r="H76" i="4"/>
  <c r="G76" i="4"/>
  <c r="F76" i="4"/>
  <c r="E76" i="4"/>
  <c r="D76" i="4"/>
  <c r="C76" i="4"/>
  <c r="L75" i="4"/>
  <c r="K75" i="4"/>
  <c r="J75" i="4"/>
  <c r="I75" i="4"/>
  <c r="H75" i="4"/>
  <c r="G75" i="4"/>
  <c r="F75" i="4"/>
  <c r="E75" i="4"/>
  <c r="D75" i="4"/>
  <c r="C75" i="4"/>
  <c r="L74" i="4"/>
  <c r="K74" i="4"/>
  <c r="J74" i="4"/>
  <c r="I74" i="4"/>
  <c r="H74" i="4"/>
  <c r="G74" i="4"/>
  <c r="F74" i="4"/>
  <c r="E74" i="4"/>
  <c r="D74" i="4"/>
  <c r="C74" i="4"/>
  <c r="L73" i="4"/>
  <c r="K73" i="4"/>
  <c r="J73" i="4"/>
  <c r="I73" i="4"/>
  <c r="H73" i="4"/>
  <c r="G73" i="4"/>
  <c r="F73" i="4"/>
  <c r="E73" i="4"/>
  <c r="D73" i="4"/>
  <c r="C73" i="4"/>
  <c r="L72" i="4"/>
  <c r="K72" i="4"/>
  <c r="J72" i="4"/>
  <c r="I72" i="4"/>
  <c r="H72" i="4"/>
  <c r="G72" i="4"/>
  <c r="F72" i="4"/>
  <c r="E72" i="4"/>
  <c r="D72" i="4"/>
  <c r="C72" i="4"/>
  <c r="L71" i="4"/>
  <c r="K71" i="4"/>
  <c r="J71" i="4"/>
  <c r="I71" i="4"/>
  <c r="H71" i="4"/>
  <c r="G71" i="4"/>
  <c r="F71" i="4"/>
  <c r="E71" i="4"/>
  <c r="D71" i="4"/>
  <c r="C71" i="4"/>
  <c r="B2" i="6" l="1"/>
  <c r="C3" i="6"/>
  <c r="D3" i="6"/>
  <c r="E3" i="6"/>
  <c r="F3" i="6"/>
  <c r="G3" i="6"/>
  <c r="H3" i="6"/>
  <c r="I3" i="6"/>
  <c r="J3" i="6"/>
  <c r="K3" i="6"/>
  <c r="L3" i="6"/>
  <c r="L103" i="4" l="1"/>
  <c r="K103" i="4"/>
  <c r="J103" i="4"/>
  <c r="I103" i="4"/>
  <c r="H103" i="4"/>
  <c r="G103" i="4"/>
  <c r="F103" i="4"/>
  <c r="E103" i="4"/>
  <c r="D103" i="4"/>
  <c r="C103" i="4"/>
  <c r="L102" i="4"/>
  <c r="K102" i="4"/>
  <c r="J102" i="4"/>
  <c r="I102" i="4"/>
  <c r="H102" i="4"/>
  <c r="G102" i="4"/>
  <c r="F102" i="4"/>
  <c r="E102" i="4"/>
  <c r="D102" i="4"/>
  <c r="C102" i="4"/>
  <c r="L101" i="4"/>
  <c r="K101" i="4"/>
  <c r="J101" i="4"/>
  <c r="I101" i="4"/>
  <c r="H101" i="4"/>
  <c r="G101" i="4"/>
  <c r="F101" i="4"/>
  <c r="E101" i="4"/>
  <c r="D101" i="4"/>
  <c r="C101" i="4"/>
  <c r="L100" i="4"/>
  <c r="K100" i="4"/>
  <c r="J100" i="4"/>
  <c r="I100" i="4"/>
  <c r="H100" i="4"/>
  <c r="G100" i="4"/>
  <c r="F100" i="4"/>
  <c r="E100" i="4"/>
  <c r="D100" i="4"/>
  <c r="C100" i="4"/>
  <c r="L99" i="4"/>
  <c r="K99" i="4"/>
  <c r="J99" i="4"/>
  <c r="I99" i="4"/>
  <c r="H99" i="4"/>
  <c r="G99" i="4"/>
  <c r="F99" i="4"/>
  <c r="E99" i="4"/>
  <c r="D99" i="4"/>
  <c r="C99" i="4"/>
  <c r="L98" i="4"/>
  <c r="K98" i="4"/>
  <c r="J98" i="4"/>
  <c r="I98" i="4"/>
  <c r="H98" i="4"/>
  <c r="G98" i="4"/>
  <c r="F98" i="4"/>
  <c r="E98" i="4"/>
  <c r="D98" i="4"/>
  <c r="C98" i="4"/>
  <c r="L97" i="4"/>
  <c r="K97" i="4"/>
  <c r="J97" i="4"/>
  <c r="J104" i="4" s="1"/>
  <c r="I97" i="4"/>
  <c r="H97" i="4"/>
  <c r="G97" i="4"/>
  <c r="F97" i="4"/>
  <c r="F104" i="4" s="1"/>
  <c r="E97" i="4"/>
  <c r="E104" i="4" s="1"/>
  <c r="D97" i="4"/>
  <c r="C97" i="4"/>
  <c r="L96" i="4"/>
  <c r="L104" i="4" s="1"/>
  <c r="K96" i="4"/>
  <c r="K104" i="4" s="1"/>
  <c r="J96" i="4"/>
  <c r="I96" i="4"/>
  <c r="H96" i="4"/>
  <c r="H104" i="4" s="1"/>
  <c r="G96" i="4"/>
  <c r="G104" i="4" s="1"/>
  <c r="F96" i="4"/>
  <c r="E96" i="4"/>
  <c r="D96" i="4"/>
  <c r="D104" i="4" s="1"/>
  <c r="C96" i="4"/>
  <c r="L92" i="4"/>
  <c r="K92" i="4"/>
  <c r="J92" i="4"/>
  <c r="I92" i="4"/>
  <c r="H92" i="4"/>
  <c r="G92" i="4"/>
  <c r="F92" i="4"/>
  <c r="E92" i="4"/>
  <c r="D92" i="4"/>
  <c r="C92" i="4"/>
  <c r="L91" i="4"/>
  <c r="K91" i="4"/>
  <c r="J91" i="4"/>
  <c r="I91" i="4"/>
  <c r="H91" i="4"/>
  <c r="G91" i="4"/>
  <c r="F91" i="4"/>
  <c r="E91" i="4"/>
  <c r="D91" i="4"/>
  <c r="C91" i="4"/>
  <c r="L90" i="4"/>
  <c r="K90" i="4"/>
  <c r="J90" i="4"/>
  <c r="I90" i="4"/>
  <c r="H90" i="4"/>
  <c r="G90" i="4"/>
  <c r="F90" i="4"/>
  <c r="E90" i="4"/>
  <c r="D90" i="4"/>
  <c r="C90" i="4"/>
  <c r="L89" i="4"/>
  <c r="K89" i="4"/>
  <c r="J89" i="4"/>
  <c r="I89" i="4"/>
  <c r="H89" i="4"/>
  <c r="G89" i="4"/>
  <c r="F89" i="4"/>
  <c r="E89" i="4"/>
  <c r="D89" i="4"/>
  <c r="C89" i="4"/>
  <c r="L88" i="4"/>
  <c r="K88" i="4"/>
  <c r="J88" i="4"/>
  <c r="I88" i="4"/>
  <c r="H88" i="4"/>
  <c r="G88" i="4"/>
  <c r="F88" i="4"/>
  <c r="E88" i="4"/>
  <c r="D88" i="4"/>
  <c r="C88" i="4"/>
  <c r="L87" i="4"/>
  <c r="K87" i="4"/>
  <c r="J87" i="4"/>
  <c r="I87" i="4"/>
  <c r="H87" i="4"/>
  <c r="G87" i="4"/>
  <c r="F87" i="4"/>
  <c r="E87" i="4"/>
  <c r="D87" i="4"/>
  <c r="C87" i="4"/>
  <c r="L86" i="4"/>
  <c r="K86" i="4"/>
  <c r="J86" i="4"/>
  <c r="I86" i="4"/>
  <c r="H86" i="4"/>
  <c r="G86" i="4"/>
  <c r="F86" i="4"/>
  <c r="E86" i="4"/>
  <c r="D86" i="4"/>
  <c r="C86" i="4"/>
  <c r="L85" i="4"/>
  <c r="K85" i="4"/>
  <c r="J85" i="4"/>
  <c r="I85" i="4"/>
  <c r="H85" i="4"/>
  <c r="G85" i="4"/>
  <c r="F85" i="4"/>
  <c r="E85" i="4"/>
  <c r="D85" i="4"/>
  <c r="C85" i="4"/>
  <c r="L84" i="4"/>
  <c r="K84" i="4"/>
  <c r="J84" i="4"/>
  <c r="I84" i="4"/>
  <c r="H84" i="4"/>
  <c r="G84" i="4"/>
  <c r="F84" i="4"/>
  <c r="E84" i="4"/>
  <c r="D84" i="4"/>
  <c r="C84" i="4"/>
  <c r="L83" i="4"/>
  <c r="K83" i="4"/>
  <c r="J83" i="4"/>
  <c r="I83" i="4"/>
  <c r="H83" i="4"/>
  <c r="G83" i="4"/>
  <c r="F83" i="4"/>
  <c r="E83" i="4"/>
  <c r="D83" i="4"/>
  <c r="C83" i="4"/>
  <c r="L82" i="4"/>
  <c r="K82" i="4"/>
  <c r="J82" i="4"/>
  <c r="I82" i="4"/>
  <c r="H82" i="4"/>
  <c r="G82" i="4"/>
  <c r="F82" i="4"/>
  <c r="E82" i="4"/>
  <c r="D82" i="4"/>
  <c r="C82" i="4"/>
  <c r="L78" i="4"/>
  <c r="K78" i="4"/>
  <c r="J78" i="4"/>
  <c r="I78" i="4"/>
  <c r="H78" i="4"/>
  <c r="G78" i="4"/>
  <c r="F78" i="4"/>
  <c r="E78" i="4"/>
  <c r="D78" i="4"/>
  <c r="C78" i="4"/>
  <c r="I104" i="4" l="1"/>
  <c r="D93" i="4"/>
  <c r="D106" i="4" s="1"/>
  <c r="H93" i="4"/>
  <c r="H106" i="4" s="1"/>
  <c r="L93" i="4"/>
  <c r="L106" i="4" s="1"/>
  <c r="F93" i="4"/>
  <c r="F106" i="4" s="1"/>
  <c r="J93" i="4"/>
  <c r="J106" i="4" s="1"/>
  <c r="E93" i="4"/>
  <c r="E106" i="4" s="1"/>
  <c r="I93" i="4"/>
  <c r="I106" i="4" s="1"/>
  <c r="G93" i="4"/>
  <c r="G106" i="4" s="1"/>
  <c r="K93" i="4"/>
  <c r="K106" i="4" s="1"/>
  <c r="C104" i="4"/>
  <c r="C93" i="4"/>
  <c r="C106" i="4" s="1"/>
  <c r="L56" i="4"/>
  <c r="K56" i="4"/>
  <c r="J56" i="4"/>
  <c r="I56" i="4"/>
  <c r="H56" i="4"/>
  <c r="G56" i="4"/>
  <c r="F56" i="4"/>
  <c r="E56" i="4"/>
  <c r="D56" i="4"/>
  <c r="C56" i="4"/>
  <c r="L61" i="4"/>
  <c r="K61" i="4"/>
  <c r="J61" i="4"/>
  <c r="I61" i="4"/>
  <c r="H61" i="4"/>
  <c r="G61" i="4"/>
  <c r="F61" i="4"/>
  <c r="E61" i="4"/>
  <c r="D61" i="4"/>
  <c r="C61" i="4"/>
  <c r="L60" i="4"/>
  <c r="K60" i="4"/>
  <c r="J60" i="4"/>
  <c r="I60" i="4"/>
  <c r="I62" i="4" s="1"/>
  <c r="H60" i="4"/>
  <c r="G60" i="4"/>
  <c r="F60" i="4"/>
  <c r="E60" i="4"/>
  <c r="E62" i="4" s="1"/>
  <c r="D60" i="4"/>
  <c r="C60" i="4"/>
  <c r="L59" i="4"/>
  <c r="K59" i="4"/>
  <c r="K62" i="4" s="1"/>
  <c r="J59" i="4"/>
  <c r="I59" i="4"/>
  <c r="H59" i="4"/>
  <c r="G59" i="4"/>
  <c r="G62" i="4" s="1"/>
  <c r="F59" i="4"/>
  <c r="E59" i="4"/>
  <c r="D59" i="4"/>
  <c r="C59" i="4"/>
  <c r="C62" i="4" s="1"/>
  <c r="L55" i="4"/>
  <c r="K55" i="4"/>
  <c r="J55" i="4"/>
  <c r="I55" i="4"/>
  <c r="H55" i="4"/>
  <c r="G55" i="4"/>
  <c r="F55" i="4"/>
  <c r="E55" i="4"/>
  <c r="D55" i="4"/>
  <c r="C55" i="4"/>
  <c r="L54" i="4"/>
  <c r="K54" i="4"/>
  <c r="J54" i="4"/>
  <c r="I54" i="4"/>
  <c r="H54" i="4"/>
  <c r="G54" i="4"/>
  <c r="F54" i="4"/>
  <c r="E54" i="4"/>
  <c r="D54" i="4"/>
  <c r="C54" i="4"/>
  <c r="L53" i="4"/>
  <c r="K53" i="4"/>
  <c r="J53" i="4"/>
  <c r="J57" i="4" s="1"/>
  <c r="I53" i="4"/>
  <c r="I57" i="4" s="1"/>
  <c r="I64" i="4" s="1"/>
  <c r="H53" i="4"/>
  <c r="G53" i="4"/>
  <c r="F53" i="4"/>
  <c r="F57" i="4" s="1"/>
  <c r="E53" i="4"/>
  <c r="E57" i="4" s="1"/>
  <c r="D53" i="4"/>
  <c r="C53" i="4"/>
  <c r="L50" i="4"/>
  <c r="K50" i="4"/>
  <c r="J50" i="4"/>
  <c r="I50" i="4"/>
  <c r="H50" i="4"/>
  <c r="G50" i="4"/>
  <c r="F50" i="4"/>
  <c r="E50" i="4"/>
  <c r="D50" i="4"/>
  <c r="C50" i="4"/>
  <c r="L49" i="4"/>
  <c r="L40" i="6" s="1"/>
  <c r="K49" i="4"/>
  <c r="K40" i="6" s="1"/>
  <c r="J49" i="4"/>
  <c r="J40" i="6" s="1"/>
  <c r="I49" i="4"/>
  <c r="I40" i="6" s="1"/>
  <c r="H49" i="4"/>
  <c r="H40" i="6" s="1"/>
  <c r="G49" i="4"/>
  <c r="G40" i="6" s="1"/>
  <c r="F49" i="4"/>
  <c r="F40" i="6" s="1"/>
  <c r="E49" i="4"/>
  <c r="E40" i="6" s="1"/>
  <c r="D49" i="4"/>
  <c r="D40" i="6" s="1"/>
  <c r="C49" i="4"/>
  <c r="C40" i="6" s="1"/>
  <c r="L48" i="4"/>
  <c r="K48" i="4"/>
  <c r="J48" i="4"/>
  <c r="I48" i="4"/>
  <c r="H48" i="4"/>
  <c r="G48" i="4"/>
  <c r="F48" i="4"/>
  <c r="E48" i="4"/>
  <c r="D48" i="4"/>
  <c r="C48" i="4"/>
  <c r="L47" i="4"/>
  <c r="K47" i="4"/>
  <c r="J47" i="4"/>
  <c r="J51" i="4" s="1"/>
  <c r="I47" i="4"/>
  <c r="I51" i="4" s="1"/>
  <c r="H47" i="4"/>
  <c r="G47" i="4"/>
  <c r="F47" i="4"/>
  <c r="F51" i="4" s="1"/>
  <c r="E47" i="4"/>
  <c r="E51" i="4" s="1"/>
  <c r="D47" i="4"/>
  <c r="C47" i="4"/>
  <c r="C35" i="4"/>
  <c r="C40" i="4" s="1"/>
  <c r="M35" i="4"/>
  <c r="M40" i="4" s="1"/>
  <c r="L35" i="4"/>
  <c r="L40" i="4" s="1"/>
  <c r="K35" i="4"/>
  <c r="K40" i="4" s="1"/>
  <c r="J35" i="4"/>
  <c r="J40" i="4" s="1"/>
  <c r="I35" i="4"/>
  <c r="I40" i="4" s="1"/>
  <c r="H35" i="4"/>
  <c r="H40" i="4" s="1"/>
  <c r="G35" i="4"/>
  <c r="G40" i="4" s="1"/>
  <c r="F35" i="4"/>
  <c r="F40" i="4" s="1"/>
  <c r="E35" i="4"/>
  <c r="E40" i="4" s="1"/>
  <c r="D35" i="4"/>
  <c r="D40" i="4" s="1"/>
  <c r="M29" i="4"/>
  <c r="L29" i="4"/>
  <c r="K29" i="4"/>
  <c r="J29" i="4"/>
  <c r="I29" i="4"/>
  <c r="H29" i="4"/>
  <c r="G29" i="4"/>
  <c r="F29" i="4"/>
  <c r="E29" i="4"/>
  <c r="D29" i="4"/>
  <c r="C29" i="4"/>
  <c r="F9" i="6" l="1"/>
  <c r="K51" i="4"/>
  <c r="C57" i="4"/>
  <c r="C64" i="4" s="1"/>
  <c r="D62" i="4"/>
  <c r="D64" i="4" s="1"/>
  <c r="H62" i="4"/>
  <c r="L62" i="4"/>
  <c r="F62" i="4"/>
  <c r="F64" i="4" s="1"/>
  <c r="J62" i="4"/>
  <c r="J64" i="4" s="1"/>
  <c r="J9" i="6"/>
  <c r="O40" i="6"/>
  <c r="N40" i="6"/>
  <c r="C51" i="4"/>
  <c r="G51" i="4"/>
  <c r="D51" i="4"/>
  <c r="H51" i="4"/>
  <c r="L51" i="4"/>
  <c r="G57" i="4"/>
  <c r="K57" i="4"/>
  <c r="K64" i="4" s="1"/>
  <c r="I66" i="4"/>
  <c r="I39" i="6"/>
  <c r="K9" i="6"/>
  <c r="L9" i="6"/>
  <c r="G9" i="6"/>
  <c r="D9" i="6"/>
  <c r="H9" i="6"/>
  <c r="E9" i="6"/>
  <c r="D57" i="4"/>
  <c r="H57" i="4"/>
  <c r="H64" i="4" s="1"/>
  <c r="E64" i="4"/>
  <c r="I9" i="6"/>
  <c r="L57" i="4"/>
  <c r="L64" i="4" s="1"/>
  <c r="G64" i="4"/>
  <c r="L23" i="4"/>
  <c r="K23" i="4"/>
  <c r="J23" i="4"/>
  <c r="I23" i="4"/>
  <c r="H23" i="4"/>
  <c r="G23" i="4"/>
  <c r="F23" i="4"/>
  <c r="E23" i="4"/>
  <c r="D23" i="4"/>
  <c r="M23" i="4"/>
  <c r="C23" i="4"/>
  <c r="M20" i="4"/>
  <c r="L20" i="4"/>
  <c r="K20" i="4"/>
  <c r="J20" i="4"/>
  <c r="I20" i="4"/>
  <c r="H20" i="4"/>
  <c r="G20" i="4"/>
  <c r="F20" i="4"/>
  <c r="E20" i="4"/>
  <c r="D20" i="4"/>
  <c r="C20" i="4"/>
  <c r="M17" i="4"/>
  <c r="F66" i="4" l="1"/>
  <c r="F39" i="6"/>
  <c r="M26" i="4"/>
  <c r="M32" i="4" s="1"/>
  <c r="O9" i="6"/>
  <c r="N9" i="6"/>
  <c r="K66" i="4"/>
  <c r="K39" i="6"/>
  <c r="L66" i="4"/>
  <c r="L39" i="6"/>
  <c r="E66" i="4"/>
  <c r="E39" i="6"/>
  <c r="H66" i="4"/>
  <c r="H39" i="6"/>
  <c r="C66" i="4"/>
  <c r="C39" i="6"/>
  <c r="G66" i="4"/>
  <c r="G39" i="6"/>
  <c r="J66" i="4"/>
  <c r="J39" i="6"/>
  <c r="D66" i="4"/>
  <c r="D39" i="6"/>
  <c r="M14" i="4"/>
  <c r="L14" i="4"/>
  <c r="K14" i="4"/>
  <c r="J14" i="4"/>
  <c r="I14" i="4"/>
  <c r="H14" i="4"/>
  <c r="G14" i="4"/>
  <c r="F14" i="4"/>
  <c r="E14" i="4"/>
  <c r="D14" i="4"/>
  <c r="C14" i="4"/>
  <c r="M8" i="4"/>
  <c r="L8" i="4"/>
  <c r="K8" i="4"/>
  <c r="J8" i="4"/>
  <c r="I8" i="4"/>
  <c r="H8" i="4"/>
  <c r="G8" i="4"/>
  <c r="F8" i="4"/>
  <c r="E8" i="4"/>
  <c r="D8" i="4"/>
  <c r="C8" i="4"/>
  <c r="M5" i="4"/>
  <c r="C5" i="4"/>
  <c r="D5" i="4"/>
  <c r="E5" i="4"/>
  <c r="F5" i="4"/>
  <c r="G5" i="4"/>
  <c r="H5" i="4"/>
  <c r="I5" i="4"/>
  <c r="J5" i="4"/>
  <c r="K5" i="4"/>
  <c r="L5" i="4"/>
  <c r="D3" i="4"/>
  <c r="E3" i="4"/>
  <c r="F3" i="4"/>
  <c r="G3" i="4"/>
  <c r="H3" i="4"/>
  <c r="I3" i="4"/>
  <c r="J3" i="4"/>
  <c r="K3" i="4"/>
  <c r="L3" i="4"/>
  <c r="C3" i="4"/>
  <c r="B2" i="4"/>
  <c r="O39" i="6" l="1"/>
  <c r="N39" i="6"/>
  <c r="I9" i="4"/>
  <c r="L28" i="6"/>
  <c r="L34" i="6" s="1"/>
  <c r="L31" i="6"/>
  <c r="L27" i="6"/>
  <c r="L33" i="6" s="1"/>
  <c r="L30" i="6"/>
  <c r="L29" i="6"/>
  <c r="L35" i="6" s="1"/>
  <c r="L38" i="6"/>
  <c r="L30" i="4"/>
  <c r="H28" i="6"/>
  <c r="H34" i="6" s="1"/>
  <c r="H31" i="6"/>
  <c r="H27" i="6"/>
  <c r="H33" i="6" s="1"/>
  <c r="H30" i="6"/>
  <c r="H29" i="6"/>
  <c r="H35" i="6" s="1"/>
  <c r="H38" i="6"/>
  <c r="H30" i="4"/>
  <c r="D28" i="6"/>
  <c r="D34" i="6" s="1"/>
  <c r="D31" i="6"/>
  <c r="D27" i="6"/>
  <c r="D33" i="6" s="1"/>
  <c r="D30" i="6"/>
  <c r="D29" i="6"/>
  <c r="D35" i="6" s="1"/>
  <c r="D38" i="6"/>
  <c r="D30" i="4"/>
  <c r="G9" i="4"/>
  <c r="G29" i="6"/>
  <c r="G35" i="6" s="1"/>
  <c r="G28" i="6"/>
  <c r="G34" i="6" s="1"/>
  <c r="G31" i="6"/>
  <c r="G27" i="6"/>
  <c r="G33" i="6" s="1"/>
  <c r="G30" i="6"/>
  <c r="G38" i="6"/>
  <c r="G30" i="4"/>
  <c r="C15" i="4"/>
  <c r="C17" i="6" s="1"/>
  <c r="C29" i="6"/>
  <c r="C28" i="6"/>
  <c r="C31" i="6"/>
  <c r="C27" i="6"/>
  <c r="C30" i="6"/>
  <c r="C38" i="6"/>
  <c r="C30" i="4"/>
  <c r="F30" i="6"/>
  <c r="F29" i="6"/>
  <c r="F35" i="6" s="1"/>
  <c r="F28" i="6"/>
  <c r="F34" i="6" s="1"/>
  <c r="F31" i="6"/>
  <c r="F27" i="6"/>
  <c r="F33" i="6" s="1"/>
  <c r="F38" i="6"/>
  <c r="F30" i="4"/>
  <c r="M6" i="4"/>
  <c r="M30" i="4"/>
  <c r="K15" i="4"/>
  <c r="K17" i="6" s="1"/>
  <c r="K29" i="6"/>
  <c r="K35" i="6" s="1"/>
  <c r="K28" i="6"/>
  <c r="K34" i="6" s="1"/>
  <c r="K31" i="6"/>
  <c r="K27" i="6"/>
  <c r="K33" i="6" s="1"/>
  <c r="K30" i="6"/>
  <c r="K38" i="6"/>
  <c r="K30" i="4"/>
  <c r="J30" i="6"/>
  <c r="J29" i="6"/>
  <c r="J35" i="6" s="1"/>
  <c r="J28" i="6"/>
  <c r="J34" i="6" s="1"/>
  <c r="J31" i="6"/>
  <c r="J27" i="6"/>
  <c r="J33" i="6" s="1"/>
  <c r="J38" i="6"/>
  <c r="J30" i="4"/>
  <c r="I31" i="6"/>
  <c r="I27" i="6"/>
  <c r="I33" i="6" s="1"/>
  <c r="I30" i="6"/>
  <c r="I29" i="6"/>
  <c r="I35" i="6" s="1"/>
  <c r="I28" i="6"/>
  <c r="I34" i="6" s="1"/>
  <c r="I30" i="4"/>
  <c r="I38" i="6"/>
  <c r="E31" i="6"/>
  <c r="E27" i="6"/>
  <c r="E33" i="6" s="1"/>
  <c r="E30" i="6"/>
  <c r="E29" i="6"/>
  <c r="E35" i="6" s="1"/>
  <c r="E28" i="6"/>
  <c r="E34" i="6" s="1"/>
  <c r="E38" i="6"/>
  <c r="E30" i="4"/>
  <c r="M27" i="4"/>
  <c r="M33" i="4"/>
  <c r="M37" i="4"/>
  <c r="M41" i="4" s="1"/>
  <c r="M43" i="4" s="1"/>
  <c r="M9" i="4"/>
  <c r="J15" i="4"/>
  <c r="J17" i="6" s="1"/>
  <c r="G15" i="4"/>
  <c r="G17" i="6" s="1"/>
  <c r="F15" i="4"/>
  <c r="F17" i="6" s="1"/>
  <c r="K9" i="4"/>
  <c r="E9" i="4"/>
  <c r="H15" i="4"/>
  <c r="H17" i="6" s="1"/>
  <c r="D9" i="4"/>
  <c r="H9" i="4"/>
  <c r="L9" i="4"/>
  <c r="E15" i="4"/>
  <c r="E17" i="6" s="1"/>
  <c r="I15" i="4"/>
  <c r="I17" i="6" s="1"/>
  <c r="I24" i="4"/>
  <c r="I18" i="6" s="1"/>
  <c r="I21" i="4"/>
  <c r="E6" i="4"/>
  <c r="E5" i="6" s="1"/>
  <c r="H11" i="4"/>
  <c r="L21" i="4"/>
  <c r="L24" i="4"/>
  <c r="L18" i="6" s="1"/>
  <c r="D21" i="4"/>
  <c r="D24" i="4"/>
  <c r="D18" i="6" s="1"/>
  <c r="H6" i="4"/>
  <c r="H5" i="6" s="1"/>
  <c r="I11" i="4"/>
  <c r="K24" i="4"/>
  <c r="K18" i="6" s="1"/>
  <c r="K21" i="4"/>
  <c r="G24" i="4"/>
  <c r="G18" i="6" s="1"/>
  <c r="G21" i="4"/>
  <c r="C24" i="4"/>
  <c r="C18" i="6" s="1"/>
  <c r="C21" i="4"/>
  <c r="K6" i="4"/>
  <c r="K5" i="6" s="1"/>
  <c r="G6" i="4"/>
  <c r="G5" i="6" s="1"/>
  <c r="D11" i="4"/>
  <c r="L11" i="4"/>
  <c r="F9" i="4"/>
  <c r="J9" i="4"/>
  <c r="D15" i="4"/>
  <c r="D17" i="6" s="1"/>
  <c r="L15" i="4"/>
  <c r="L17" i="6" s="1"/>
  <c r="E21" i="4"/>
  <c r="E24" i="4"/>
  <c r="E18" i="6" s="1"/>
  <c r="I6" i="4"/>
  <c r="I5" i="6" s="1"/>
  <c r="H21" i="4"/>
  <c r="H24" i="4"/>
  <c r="H18" i="6" s="1"/>
  <c r="L6" i="4"/>
  <c r="L5" i="6" s="1"/>
  <c r="D6" i="4"/>
  <c r="D5" i="6" s="1"/>
  <c r="J24" i="4"/>
  <c r="J18" i="6" s="1"/>
  <c r="J21" i="4"/>
  <c r="F24" i="4"/>
  <c r="F18" i="6" s="1"/>
  <c r="F21" i="4"/>
  <c r="M24" i="4"/>
  <c r="M18" i="4"/>
  <c r="M21" i="4"/>
  <c r="J6" i="4"/>
  <c r="J5" i="6" s="1"/>
  <c r="F6" i="4"/>
  <c r="F5" i="6" s="1"/>
  <c r="E11" i="4"/>
  <c r="C9" i="4"/>
  <c r="G11" i="4"/>
  <c r="K11" i="4"/>
  <c r="M11" i="4"/>
  <c r="M12" i="4" s="1"/>
  <c r="F11" i="4"/>
  <c r="J11" i="4"/>
  <c r="C11" i="4"/>
  <c r="O17" i="6" l="1"/>
  <c r="N17" i="6"/>
  <c r="O5" i="6"/>
  <c r="N5" i="6"/>
  <c r="O38" i="6"/>
  <c r="N38" i="6"/>
  <c r="C34" i="6"/>
  <c r="N28" i="6"/>
  <c r="O28" i="6"/>
  <c r="C33" i="6"/>
  <c r="O27" i="6"/>
  <c r="N27" i="6"/>
  <c r="N18" i="6"/>
  <c r="O18" i="6"/>
  <c r="O31" i="6"/>
  <c r="N31" i="6"/>
  <c r="I36" i="6"/>
  <c r="N30" i="6"/>
  <c r="O30" i="6"/>
  <c r="C35" i="6"/>
  <c r="N29" i="6"/>
  <c r="O29" i="6"/>
  <c r="L36" i="6"/>
  <c r="G36" i="6"/>
  <c r="E36" i="6"/>
  <c r="F36" i="6"/>
  <c r="H36" i="6"/>
  <c r="J36" i="6"/>
  <c r="K36" i="6"/>
  <c r="D36" i="6"/>
  <c r="C17" i="4"/>
  <c r="C12" i="4"/>
  <c r="C11" i="6" s="1"/>
  <c r="K17" i="4"/>
  <c r="K12" i="4"/>
  <c r="K11" i="6" s="1"/>
  <c r="L17" i="4"/>
  <c r="L12" i="4"/>
  <c r="L11" i="6" s="1"/>
  <c r="H17" i="4"/>
  <c r="H12" i="4"/>
  <c r="H11" i="6" s="1"/>
  <c r="J17" i="4"/>
  <c r="J12" i="4"/>
  <c r="J11" i="6" s="1"/>
  <c r="G17" i="4"/>
  <c r="G12" i="4"/>
  <c r="G11" i="6" s="1"/>
  <c r="D17" i="4"/>
  <c r="D12" i="4"/>
  <c r="D11" i="6" s="1"/>
  <c r="F17" i="4"/>
  <c r="F12" i="4"/>
  <c r="F11" i="6" s="1"/>
  <c r="I17" i="4"/>
  <c r="I12" i="4"/>
  <c r="I11" i="6" s="1"/>
  <c r="E17" i="4"/>
  <c r="E12" i="4"/>
  <c r="E11" i="6" s="1"/>
  <c r="I6" i="7" l="1" a="1"/>
  <c r="I14" i="7" s="1"/>
  <c r="O35" i="6"/>
  <c r="N35" i="6"/>
  <c r="O34" i="6"/>
  <c r="N34" i="6"/>
  <c r="N33" i="6"/>
  <c r="O33" i="6"/>
  <c r="I6" i="7"/>
  <c r="I8" i="7"/>
  <c r="I7" i="7"/>
  <c r="I10" i="7"/>
  <c r="I11" i="7"/>
  <c r="C36" i="6"/>
  <c r="N36" i="6" s="1"/>
  <c r="N11" i="6"/>
  <c r="O11" i="6"/>
  <c r="O36" i="6"/>
  <c r="I25" i="6"/>
  <c r="I21" i="6"/>
  <c r="I13" i="6"/>
  <c r="I19" i="6" s="1"/>
  <c r="I6" i="6"/>
  <c r="J25" i="6"/>
  <c r="J21" i="6"/>
  <c r="J13" i="6"/>
  <c r="J19" i="6" s="1"/>
  <c r="J6" i="6"/>
  <c r="C25" i="6"/>
  <c r="C21" i="6"/>
  <c r="C13" i="6"/>
  <c r="F25" i="6"/>
  <c r="F21" i="6"/>
  <c r="F13" i="6"/>
  <c r="F19" i="6" s="1"/>
  <c r="F6" i="6"/>
  <c r="H25" i="6"/>
  <c r="H13" i="6"/>
  <c r="H19" i="6" s="1"/>
  <c r="H21" i="6"/>
  <c r="H6" i="6"/>
  <c r="D25" i="6"/>
  <c r="D6" i="6"/>
  <c r="D21" i="6"/>
  <c r="D13" i="6"/>
  <c r="L25" i="6"/>
  <c r="L21" i="6"/>
  <c r="L6" i="6"/>
  <c r="L13" i="6"/>
  <c r="L19" i="6" s="1"/>
  <c r="E25" i="6"/>
  <c r="E6" i="6"/>
  <c r="E21" i="6"/>
  <c r="E13" i="6"/>
  <c r="E19" i="6" s="1"/>
  <c r="G25" i="6"/>
  <c r="G6" i="6"/>
  <c r="G13" i="6"/>
  <c r="G19" i="6" s="1"/>
  <c r="G21" i="6"/>
  <c r="K25" i="6"/>
  <c r="K6" i="6"/>
  <c r="K21" i="6"/>
  <c r="K13" i="6"/>
  <c r="K19" i="6" s="1"/>
  <c r="E18" i="4"/>
  <c r="E12" i="6" s="1"/>
  <c r="E26" i="4"/>
  <c r="F18" i="4"/>
  <c r="F12" i="6" s="1"/>
  <c r="F26" i="4"/>
  <c r="G18" i="4"/>
  <c r="G12" i="6" s="1"/>
  <c r="G26" i="4"/>
  <c r="H18" i="4"/>
  <c r="H12" i="6" s="1"/>
  <c r="H26" i="4"/>
  <c r="K18" i="4"/>
  <c r="K12" i="6" s="1"/>
  <c r="K26" i="4"/>
  <c r="I18" i="4"/>
  <c r="I12" i="6" s="1"/>
  <c r="I26" i="4"/>
  <c r="D18" i="4"/>
  <c r="D12" i="6" s="1"/>
  <c r="D26" i="4"/>
  <c r="J18" i="4"/>
  <c r="J12" i="6" s="1"/>
  <c r="J26" i="4"/>
  <c r="L18" i="4"/>
  <c r="L12" i="6" s="1"/>
  <c r="L26" i="4"/>
  <c r="C18" i="4"/>
  <c r="C12" i="6" s="1"/>
  <c r="C26" i="4"/>
  <c r="J11" i="7" l="1"/>
  <c r="I12" i="7"/>
  <c r="I9" i="7"/>
  <c r="I15" i="7"/>
  <c r="J15" i="7" s="1"/>
  <c r="I13" i="7"/>
  <c r="J13" i="7" s="1"/>
  <c r="J7" i="7"/>
  <c r="C19" i="6"/>
  <c r="O13" i="6"/>
  <c r="O12" i="6"/>
  <c r="N21" i="6"/>
  <c r="O21" i="6"/>
  <c r="J9" i="7"/>
  <c r="J12" i="7"/>
  <c r="I22" i="7"/>
  <c r="C32" i="4"/>
  <c r="C23" i="6" s="1"/>
  <c r="N6" i="7" a="1"/>
  <c r="J8" i="7"/>
  <c r="O6" i="6"/>
  <c r="N6" i="6"/>
  <c r="O25" i="6"/>
  <c r="N25" i="6"/>
  <c r="J10" i="7"/>
  <c r="D19" i="6"/>
  <c r="N13" i="6"/>
  <c r="N12" i="6"/>
  <c r="J14" i="7"/>
  <c r="I7" i="6"/>
  <c r="I32" i="4"/>
  <c r="F32" i="4"/>
  <c r="F7" i="6"/>
  <c r="J7" i="6"/>
  <c r="J32" i="4"/>
  <c r="H32" i="4"/>
  <c r="H7" i="6"/>
  <c r="L32" i="4"/>
  <c r="L7" i="6"/>
  <c r="D32" i="4"/>
  <c r="D7" i="6"/>
  <c r="K7" i="6"/>
  <c r="K32" i="4"/>
  <c r="G7" i="6"/>
  <c r="G32" i="4"/>
  <c r="E7" i="6"/>
  <c r="E32" i="4"/>
  <c r="L27" i="4"/>
  <c r="L14" i="6" s="1"/>
  <c r="C27" i="4"/>
  <c r="C14" i="6" s="1"/>
  <c r="J27" i="4"/>
  <c r="J14" i="6" s="1"/>
  <c r="I27" i="4"/>
  <c r="I14" i="6" s="1"/>
  <c r="H27" i="4"/>
  <c r="H14" i="6" s="1"/>
  <c r="F27" i="4"/>
  <c r="F14" i="6" s="1"/>
  <c r="D27" i="4"/>
  <c r="D14" i="6" s="1"/>
  <c r="K27" i="4"/>
  <c r="K14" i="6" s="1"/>
  <c r="E27" i="4"/>
  <c r="E14" i="6" s="1"/>
  <c r="G27" i="4"/>
  <c r="G14" i="6" s="1"/>
  <c r="I20" i="7" l="1"/>
  <c r="I19" i="7"/>
  <c r="N14" i="6"/>
  <c r="I16" i="7"/>
  <c r="J16" i="7" s="1"/>
  <c r="I21" i="7"/>
  <c r="J22" i="7" s="1"/>
  <c r="I18" i="7"/>
  <c r="I17" i="7"/>
  <c r="J19" i="7"/>
  <c r="O14" i="6"/>
  <c r="O7" i="6"/>
  <c r="N7" i="6"/>
  <c r="J20" i="7"/>
  <c r="N6" i="7"/>
  <c r="N8" i="7"/>
  <c r="N14" i="7"/>
  <c r="N10" i="7"/>
  <c r="O10" i="7" s="1"/>
  <c r="N13" i="7"/>
  <c r="N7" i="7"/>
  <c r="O7" i="7" s="1"/>
  <c r="N9" i="7"/>
  <c r="N15" i="7"/>
  <c r="N11" i="7"/>
  <c r="N12" i="7"/>
  <c r="O12" i="7" s="1"/>
  <c r="N19" i="6"/>
  <c r="O19" i="6"/>
  <c r="G23" i="6"/>
  <c r="G8" i="6"/>
  <c r="D8" i="6"/>
  <c r="D23" i="6"/>
  <c r="H8" i="6"/>
  <c r="H23" i="6"/>
  <c r="F23" i="6"/>
  <c r="F8" i="6"/>
  <c r="E8" i="6"/>
  <c r="E23" i="6"/>
  <c r="K8" i="6"/>
  <c r="K23" i="6"/>
  <c r="J23" i="6"/>
  <c r="J8" i="6"/>
  <c r="I8" i="6"/>
  <c r="I23" i="6"/>
  <c r="L8" i="6"/>
  <c r="L23" i="6"/>
  <c r="C33" i="4"/>
  <c r="C15" i="6" s="1"/>
  <c r="C37" i="4"/>
  <c r="K33" i="4"/>
  <c r="K15" i="6" s="1"/>
  <c r="K37" i="4"/>
  <c r="I37" i="4"/>
  <c r="I33" i="4"/>
  <c r="I15" i="6" s="1"/>
  <c r="E33" i="4"/>
  <c r="E15" i="6" s="1"/>
  <c r="E37" i="4"/>
  <c r="D37" i="4"/>
  <c r="D33" i="4"/>
  <c r="D15" i="6" s="1"/>
  <c r="H37" i="4"/>
  <c r="H33" i="4"/>
  <c r="H15" i="6" s="1"/>
  <c r="J33" i="4"/>
  <c r="J15" i="6" s="1"/>
  <c r="J37" i="4"/>
  <c r="L37" i="4"/>
  <c r="L33" i="4"/>
  <c r="L15" i="6" s="1"/>
  <c r="G33" i="4"/>
  <c r="G15" i="6" s="1"/>
  <c r="G37" i="4"/>
  <c r="F33" i="4"/>
  <c r="F15" i="6" s="1"/>
  <c r="F37" i="4"/>
  <c r="J17" i="7" l="1"/>
  <c r="J18" i="7"/>
  <c r="N15" i="6"/>
  <c r="O23" i="6"/>
  <c r="J21" i="7"/>
  <c r="O11" i="7"/>
  <c r="O15" i="6"/>
  <c r="O8" i="6"/>
  <c r="N8" i="6"/>
  <c r="O13" i="7"/>
  <c r="N22" i="7"/>
  <c r="N18" i="7"/>
  <c r="N21" i="7"/>
  <c r="N17" i="7"/>
  <c r="N20" i="7"/>
  <c r="N16" i="7"/>
  <c r="O16" i="7" s="1"/>
  <c r="N19" i="7"/>
  <c r="O9" i="7"/>
  <c r="O8" i="7"/>
  <c r="N23" i="6"/>
  <c r="O15" i="7"/>
  <c r="O14" i="7"/>
  <c r="E38" i="4"/>
  <c r="E41" i="4" s="1"/>
  <c r="E43" i="4" s="1"/>
  <c r="E22" i="6" s="1"/>
  <c r="E24" i="6" s="1"/>
  <c r="L38" i="4"/>
  <c r="L41" i="4" s="1"/>
  <c r="L43" i="4" s="1"/>
  <c r="L22" i="6" s="1"/>
  <c r="L24" i="6" s="1"/>
  <c r="M38" i="4"/>
  <c r="J41" i="4"/>
  <c r="J43" i="4" s="1"/>
  <c r="J22" i="6" s="1"/>
  <c r="J24" i="6" s="1"/>
  <c r="J38" i="4"/>
  <c r="C38" i="4"/>
  <c r="C41" i="4"/>
  <c r="C43" i="4" s="1"/>
  <c r="C22" i="6" s="1"/>
  <c r="F38" i="4"/>
  <c r="F41" i="4"/>
  <c r="F43" i="4" s="1"/>
  <c r="F22" i="6" s="1"/>
  <c r="F24" i="6" s="1"/>
  <c r="K38" i="4"/>
  <c r="K41" i="4"/>
  <c r="K43" i="4" s="1"/>
  <c r="K22" i="6" s="1"/>
  <c r="K24" i="6" s="1"/>
  <c r="H41" i="4"/>
  <c r="H43" i="4" s="1"/>
  <c r="H22" i="6" s="1"/>
  <c r="H24" i="6" s="1"/>
  <c r="H38" i="4"/>
  <c r="G38" i="4"/>
  <c r="G41" i="4"/>
  <c r="G43" i="4" s="1"/>
  <c r="G22" i="6" s="1"/>
  <c r="G24" i="6" s="1"/>
  <c r="D41" i="4"/>
  <c r="D43" i="4" s="1"/>
  <c r="D22" i="6" s="1"/>
  <c r="D24" i="6" s="1"/>
  <c r="D38" i="4"/>
  <c r="I38" i="4"/>
  <c r="I41" i="4"/>
  <c r="I43" i="4" s="1"/>
  <c r="I22" i="6" s="1"/>
  <c r="I24" i="6" s="1"/>
  <c r="O17" i="7" l="1"/>
  <c r="O19" i="7"/>
  <c r="O21" i="7"/>
  <c r="C24" i="6"/>
  <c r="O22" i="6"/>
  <c r="N22" i="6"/>
  <c r="O18" i="7"/>
  <c r="O20" i="7"/>
  <c r="O22" i="7"/>
  <c r="O24" i="6" l="1"/>
  <c r="N24" i="6"/>
</calcChain>
</file>

<file path=xl/sharedStrings.xml><?xml version="1.0" encoding="utf-8"?>
<sst xmlns="http://schemas.openxmlformats.org/spreadsheetml/2006/main" count="230" uniqueCount="159">
  <si>
    <t>Adjusted Equity Shares in Cr</t>
  </si>
  <si>
    <t>DERIVED:</t>
  </si>
  <si>
    <t>PRICE:</t>
  </si>
  <si>
    <t>Net Cash Flow</t>
  </si>
  <si>
    <t>Cash from Financing Activity</t>
  </si>
  <si>
    <t>Cash from Investing Activity</t>
  </si>
  <si>
    <t>Cash from Operating Activity</t>
  </si>
  <si>
    <t>Report Date</t>
  </si>
  <si>
    <t>CASH FLOW:</t>
  </si>
  <si>
    <t>Face value</t>
  </si>
  <si>
    <t>New Bonus Shares</t>
  </si>
  <si>
    <t>No. of Equity Shares</t>
  </si>
  <si>
    <t>Cash &amp; Bank</t>
  </si>
  <si>
    <t>Inventory</t>
  </si>
  <si>
    <t>Receivables</t>
  </si>
  <si>
    <t>Total</t>
  </si>
  <si>
    <t>Other Assets</t>
  </si>
  <si>
    <t>Investments</t>
  </si>
  <si>
    <t>Capital Work in Progress</t>
  </si>
  <si>
    <t>Net Block</t>
  </si>
  <si>
    <t>Other Liabilities</t>
  </si>
  <si>
    <t>Borrowings</t>
  </si>
  <si>
    <t>Reserves</t>
  </si>
  <si>
    <t>Equity Share Capital</t>
  </si>
  <si>
    <t>BALANCE SHEET</t>
  </si>
  <si>
    <t>Operating Profit</t>
  </si>
  <si>
    <t>Net profit</t>
  </si>
  <si>
    <t>Tax</t>
  </si>
  <si>
    <t>Profit before tax</t>
  </si>
  <si>
    <t>Interest</t>
  </si>
  <si>
    <t>Depreciation</t>
  </si>
  <si>
    <t>Other Income</t>
  </si>
  <si>
    <t>Expenses</t>
  </si>
  <si>
    <t>Sales</t>
  </si>
  <si>
    <t>Quarters</t>
  </si>
  <si>
    <t>Dividend Amount</t>
  </si>
  <si>
    <t>Other Expenses</t>
  </si>
  <si>
    <t>Selling and admin</t>
  </si>
  <si>
    <t>Employee Cost</t>
  </si>
  <si>
    <t>Other Mfr. Exp</t>
  </si>
  <si>
    <t>Power and Fuel</t>
  </si>
  <si>
    <t>Change in Inventory</t>
  </si>
  <si>
    <t>Raw Material Cost</t>
  </si>
  <si>
    <t>PROFIT &amp; LOSS</t>
  </si>
  <si>
    <t>Market Capitalization</t>
  </si>
  <si>
    <t>Current Price</t>
  </si>
  <si>
    <t>Face Value</t>
  </si>
  <si>
    <t>Number of shares</t>
  </si>
  <si>
    <t>META</t>
  </si>
  <si>
    <t>CURRENT VERSION</t>
  </si>
  <si>
    <t>PLEASE DO NOT MAKE ANY CHANGES TO THIS SHEET</t>
  </si>
  <si>
    <t>LATEST VERSION</t>
  </si>
  <si>
    <t>INDIAN BANK</t>
  </si>
  <si>
    <t>COMPANY NAME</t>
  </si>
  <si>
    <t>Years</t>
  </si>
  <si>
    <t>Income Statement</t>
  </si>
  <si>
    <t>#</t>
  </si>
  <si>
    <t>LTM</t>
  </si>
  <si>
    <t>Sales Growth</t>
  </si>
  <si>
    <t>-</t>
  </si>
  <si>
    <t>COGS % Sales</t>
  </si>
  <si>
    <t>Gross Profit</t>
  </si>
  <si>
    <t>COGS</t>
  </si>
  <si>
    <t>Selling &amp; General Exp</t>
  </si>
  <si>
    <t>S &amp; G Exp % Sales</t>
  </si>
  <si>
    <t>EBITDA</t>
  </si>
  <si>
    <t>EBITDA Margins</t>
  </si>
  <si>
    <t>Interest % Sales</t>
  </si>
  <si>
    <t>Depreciation % Sales</t>
  </si>
  <si>
    <t>Gross Profit % Sales</t>
  </si>
  <si>
    <t>Earning Before Tax</t>
  </si>
  <si>
    <t>EBT % Sales</t>
  </si>
  <si>
    <t>Taxes</t>
  </si>
  <si>
    <t>Tax % Sales</t>
  </si>
  <si>
    <t>Net Profit</t>
  </si>
  <si>
    <t>Net Margin</t>
  </si>
  <si>
    <t>No.of Equity Shares</t>
  </si>
  <si>
    <t>EPS</t>
  </si>
  <si>
    <t>EPS % Growth</t>
  </si>
  <si>
    <t>Dividend Per Share</t>
  </si>
  <si>
    <t>Retained Earning</t>
  </si>
  <si>
    <t>Balance Sheet</t>
  </si>
  <si>
    <t>Profit from operations</t>
  </si>
  <si>
    <t>Payables</t>
  </si>
  <si>
    <t>Loans Advances</t>
  </si>
  <si>
    <t>Other WC items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</si>
  <si>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</si>
  <si>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</si>
  <si>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</si>
  <si>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</si>
  <si>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</si>
  <si>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</si>
  <si>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</si>
  <si>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</si>
  <si>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</si>
  <si>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</si>
  <si>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</si>
  <si>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</si>
  <si>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</si>
  <si>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</si>
  <si>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</si>
  <si>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</si>
  <si>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</si>
  <si>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</si>
  <si>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</si>
  <si>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</si>
  <si>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</si>
  <si>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</si>
  <si>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</si>
  <si>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Total Liability</t>
  </si>
  <si>
    <t>Fixed Asset Net Block</t>
  </si>
  <si>
    <t>Total Non Current Asset</t>
  </si>
  <si>
    <t>Total Curent Assets</t>
  </si>
  <si>
    <t>Total Assets</t>
  </si>
  <si>
    <t>Check</t>
  </si>
  <si>
    <t>Cash Flow Statements</t>
  </si>
  <si>
    <t>Operating activities</t>
  </si>
  <si>
    <t>Cash From Operating Activities</t>
  </si>
  <si>
    <t>Investing Activity</t>
  </si>
  <si>
    <t>Financing Activity</t>
  </si>
  <si>
    <t>Cash From Financing activity</t>
  </si>
  <si>
    <t>Dividend Growth</t>
  </si>
  <si>
    <t>Net Profit Growth</t>
  </si>
  <si>
    <t>EBT Growth</t>
  </si>
  <si>
    <t>EBITDA Growth</t>
  </si>
  <si>
    <t>Gross Margin</t>
  </si>
  <si>
    <t>Net Profit Margin</t>
  </si>
  <si>
    <t>EBITDA Margin</t>
  </si>
  <si>
    <t>EBIT Margin</t>
  </si>
  <si>
    <t>EBT Margin</t>
  </si>
  <si>
    <t>Sales Expenses% sales</t>
  </si>
  <si>
    <t>Depreciation%sales</t>
  </si>
  <si>
    <t>Operating Income % Sales</t>
  </si>
  <si>
    <t>Return On Capital Employed</t>
  </si>
  <si>
    <t>Retained Earning%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</si>
  <si>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</si>
  <si>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</si>
  <si>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</si>
  <si>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</si>
  <si>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</si>
  <si>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 Ratio</t>
  </si>
  <si>
    <t>Fixed Asset Ratio</t>
  </si>
  <si>
    <t>Capital Turnover Ratio</t>
  </si>
  <si>
    <t>Debtor Days</t>
  </si>
  <si>
    <t>Payable Days</t>
  </si>
  <si>
    <t>Inventory Days</t>
  </si>
  <si>
    <t>Cash Conversion Cycle</t>
  </si>
  <si>
    <t>On an average Debtor pays u in days</t>
  </si>
  <si>
    <t>On an average YOU pays TO Creditor in days</t>
  </si>
  <si>
    <t>This is the sustainable Stock for days (Pre produced and stored)</t>
  </si>
  <si>
    <t>Shows the Shortfall or longterm sustaining of Cash Conversion (Debtors+Inventory)-Pyables</t>
  </si>
  <si>
    <t>CFO/Sales</t>
  </si>
  <si>
    <t>CFO/Total Assets</t>
  </si>
  <si>
    <t>CFO/ Total Debts</t>
  </si>
  <si>
    <t>Mean</t>
  </si>
  <si>
    <t>Median</t>
  </si>
  <si>
    <t>Trend</t>
  </si>
  <si>
    <t>Year Weight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</si>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</sst>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&quot;₹&quot;\ \(#,##0.0\);\-"/>
    <numFmt numFmtId="167" formatCode="0.00&quot;X&quot;"/>
    <numFmt numFmtId="168" formatCode="yyyy&quot;A&quot;"/>
    <numFmt numFmtId="169" formatCode="yyyy&quot;E&quot;"/>
    <numFmt numFmtId="170" formatCode="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dashDotDot">
        <color auto="1"/>
      </top>
      <bottom style="dashDotDot">
        <color auto="1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5" fillId="2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0" fontId="1" fillId="0" borderId="0"/>
  </cellStyleXfs>
  <cellXfs count="55">
    <xf numFmtId="0" fontId="0" fillId="0" borderId="0" xfId="0"/>
    <xf numFmtId="0" fontId="4" fillId="4" borderId="0" xfId="0" applyFont="1" applyFill="1"/>
    <xf numFmtId="17" fontId="4" fillId="4" borderId="0" xfId="0" applyNumberFormat="1" applyFont="1" applyFill="1"/>
    <xf numFmtId="17" fontId="4" fillId="4" borderId="0" xfId="0" applyNumberFormat="1" applyFont="1" applyFill="1" applyAlignment="1">
      <alignment horizontal="right"/>
    </xf>
    <xf numFmtId="0" fontId="2" fillId="0" borderId="0" xfId="0" applyFont="1"/>
    <xf numFmtId="10" fontId="7" fillId="0" borderId="0" xfId="1" applyNumberFormat="1" applyFont="1"/>
    <xf numFmtId="9" fontId="0" fillId="0" borderId="0" xfId="1" applyFont="1"/>
    <xf numFmtId="17" fontId="0" fillId="0" borderId="0" xfId="0" applyNumberFormat="1"/>
    <xf numFmtId="3" fontId="0" fillId="0" borderId="0" xfId="0" applyNumberFormat="1"/>
    <xf numFmtId="0" fontId="0" fillId="5" borderId="0" xfId="0" applyFill="1"/>
    <xf numFmtId="0" fontId="4" fillId="5" borderId="0" xfId="0" applyFont="1" applyFill="1"/>
    <xf numFmtId="166" fontId="0" fillId="0" borderId="0" xfId="0" applyNumberFormat="1"/>
    <xf numFmtId="166" fontId="2" fillId="0" borderId="0" xfId="0" applyNumberFormat="1" applyFont="1"/>
    <xf numFmtId="0" fontId="2" fillId="0" borderId="1" xfId="0" applyFont="1" applyBorder="1"/>
    <xf numFmtId="166" fontId="2" fillId="0" borderId="1" xfId="0" applyNumberFormat="1" applyFont="1" applyBorder="1"/>
    <xf numFmtId="10" fontId="0" fillId="0" borderId="0" xfId="1" applyNumberFormat="1" applyFont="1" applyBorder="1"/>
    <xf numFmtId="167" fontId="0" fillId="0" borderId="0" xfId="0" applyNumberFormat="1"/>
    <xf numFmtId="1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10" fontId="0" fillId="0" borderId="2" xfId="1" applyNumberFormat="1" applyFont="1" applyBorder="1"/>
    <xf numFmtId="0" fontId="0" fillId="0" borderId="3" xfId="0" applyBorder="1"/>
    <xf numFmtId="10" fontId="0" fillId="0" borderId="3" xfId="1" applyNumberFormat="1" applyFont="1" applyBorder="1"/>
    <xf numFmtId="167" fontId="0" fillId="0" borderId="3" xfId="0" applyNumberFormat="1" applyBorder="1"/>
    <xf numFmtId="167" fontId="0" fillId="0" borderId="2" xfId="0" applyNumberFormat="1" applyBorder="1"/>
    <xf numFmtId="1" fontId="0" fillId="0" borderId="2" xfId="0" applyNumberFormat="1" applyBorder="1"/>
    <xf numFmtId="1" fontId="0" fillId="0" borderId="3" xfId="0" applyNumberFormat="1" applyBorder="1"/>
    <xf numFmtId="17" fontId="4" fillId="4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5" fillId="6" borderId="0" xfId="0" applyFont="1" applyFill="1"/>
    <xf numFmtId="17" fontId="5" fillId="6" borderId="0" xfId="0" applyNumberFormat="1" applyFont="1" applyFill="1" applyAlignment="1">
      <alignment horizontal="right"/>
    </xf>
    <xf numFmtId="17" fontId="5" fillId="6" borderId="0" xfId="0" applyNumberFormat="1" applyFont="1" applyFill="1"/>
    <xf numFmtId="168" fontId="0" fillId="0" borderId="0" xfId="0" applyNumberFormat="1"/>
    <xf numFmtId="170" fontId="0" fillId="0" borderId="0" xfId="0" applyNumberFormat="1"/>
    <xf numFmtId="10" fontId="0" fillId="0" borderId="0" xfId="1" applyNumberFormat="1" applyFont="1"/>
    <xf numFmtId="0" fontId="0" fillId="7" borderId="0" xfId="0" applyFill="1" applyAlignment="1">
      <alignment horizontal="left"/>
    </xf>
    <xf numFmtId="169" fontId="0" fillId="7" borderId="0" xfId="0" applyNumberFormat="1" applyFill="1"/>
    <xf numFmtId="170" fontId="0" fillId="7" borderId="0" xfId="0" applyNumberFormat="1" applyFill="1"/>
    <xf numFmtId="10" fontId="0" fillId="7" borderId="0" xfId="1" applyNumberFormat="1" applyFont="1" applyFill="1"/>
    <xf numFmtId="169" fontId="0" fillId="0" borderId="0" xfId="0" applyNumberFormat="1"/>
    <xf numFmtId="10" fontId="0" fillId="0" borderId="0" xfId="1" applyNumberFormat="1" applyFont="1" applyFill="1"/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43" fontId="6" fillId="0" borderId="0" xfId="3" applyNumberFormat="1" applyBorder="1" applyAlignment="1" applyProtection="1">
      <alignment horizontal="center"/>
    </xf>
    <xf numFmtId="43" fontId="4" fillId="2" borderId="0" xfId="2" applyNumberFormat="1" applyFont="1" applyBorder="1" applyAlignment="1">
      <alignment horizontal="center"/>
    </xf>
    <xf numFmtId="43" fontId="0" fillId="0" borderId="0" xfId="4" applyFont="1" applyBorder="1"/>
    <xf numFmtId="164" fontId="0" fillId="0" borderId="0" xfId="4" applyNumberFormat="1" applyFont="1" applyBorder="1"/>
    <xf numFmtId="43" fontId="2" fillId="0" borderId="0" xfId="4" applyFont="1" applyBorder="1"/>
    <xf numFmtId="0" fontId="1" fillId="0" borderId="0" xfId="5"/>
    <xf numFmtId="43" fontId="1" fillId="0" borderId="0" xfId="4" applyFont="1" applyBorder="1"/>
    <xf numFmtId="165" fontId="3" fillId="0" borderId="0" xfId="4" applyNumberFormat="1" applyFont="1" applyFill="1" applyBorder="1"/>
    <xf numFmtId="165" fontId="4" fillId="3" borderId="0" xfId="5" applyNumberFormat="1" applyFont="1" applyFill="1" applyAlignment="1">
      <alignment horizontal="center"/>
    </xf>
    <xf numFmtId="165" fontId="4" fillId="3" borderId="0" xfId="4" applyNumberFormat="1" applyFont="1" applyFill="1" applyBorder="1"/>
    <xf numFmtId="0" fontId="2" fillId="0" borderId="0" xfId="5" applyFont="1"/>
  </cellXfs>
  <cellStyles count="6">
    <cellStyle name="Accent6 2" xfId="2" xr:uid="{00000000-0005-0000-0000-000000000000}"/>
    <cellStyle name="Comma 2" xfId="4" xr:uid="{4EE3850E-511F-42B9-9691-196F765156E9}"/>
    <cellStyle name="Hyperlink" xfId="3" builtinId="8"/>
    <cellStyle name="Normal" xfId="0" builtinId="0"/>
    <cellStyle name="Normal 2" xfId="5" xr:uid="{4A6E41E8-D5EB-4D70-9C9C-985E995A4163}"/>
    <cellStyle name="Percent" xfId="1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uber\Desktop\Financial%20Modeling%20(Beginning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ta Steels"/>
      <sheetName val="Function 1"/>
      <sheetName val="Simplification&gt;"/>
      <sheetName val="Simplify using Name"/>
      <sheetName val="Using Vlook Up"/>
      <sheetName val="Advanced Simplifivation &gt;&gt;&gt;"/>
      <sheetName val="Goal Seek"/>
      <sheetName val="Sheet1"/>
    </sheetNames>
    <sheetDataSet>
      <sheetData sheetId="0"/>
      <sheetData sheetId="1"/>
      <sheetData sheetId="2">
        <row r="3">
          <cell r="C3">
            <v>0.04</v>
          </cell>
        </row>
        <row r="4">
          <cell r="C4">
            <v>0.1</v>
          </cell>
        </row>
        <row r="5">
          <cell r="C5">
            <v>1.25</v>
          </cell>
        </row>
        <row r="6">
          <cell r="C6">
            <v>0.14000000000000001</v>
          </cell>
        </row>
        <row r="7">
          <cell r="C7">
            <v>0.3</v>
          </cell>
        </row>
        <row r="8">
          <cell r="C8">
            <v>125000</v>
          </cell>
        </row>
        <row r="9">
          <cell r="C9">
            <v>125000</v>
          </cell>
        </row>
      </sheetData>
      <sheetData sheetId="3">
        <row r="7">
          <cell r="C7">
            <v>0.11500000000000002</v>
          </cell>
        </row>
        <row r="8">
          <cell r="G8">
            <v>14500</v>
          </cell>
        </row>
        <row r="9">
          <cell r="C9">
            <v>0.14000000000000001</v>
          </cell>
          <cell r="G9">
            <v>0.1</v>
          </cell>
        </row>
        <row r="10">
          <cell r="C10">
            <v>0.3</v>
          </cell>
          <cell r="G10">
            <v>0.6</v>
          </cell>
        </row>
        <row r="11">
          <cell r="C11">
            <v>9.8000000000000004E-2</v>
          </cell>
        </row>
        <row r="13">
          <cell r="C13">
            <v>125000</v>
          </cell>
        </row>
        <row r="14">
          <cell r="C14">
            <v>125000</v>
          </cell>
        </row>
        <row r="15">
          <cell r="C15">
            <v>0.5</v>
          </cell>
        </row>
        <row r="16">
          <cell r="C16">
            <v>0.5</v>
          </cell>
        </row>
      </sheetData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"/>
  <sheetViews>
    <sheetView showGridLines="0" workbookViewId="0">
      <selection activeCell="C32" sqref="C32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106"/>
  <sheetViews>
    <sheetView showGridLines="0" zoomScale="85" zoomScaleNormal="115" workbookViewId="0">
      <pane ySplit="3" topLeftCell="A4" activePane="bottomLeft" state="frozen"/>
      <selection pane="bottomLeft" activeCell="F61" sqref="F61"/>
    </sheetView>
  </sheetViews>
  <sheetFormatPr defaultRowHeight="14.5" x14ac:dyDescent="0.35"/>
  <cols>
    <col min="1" max="1" width="1.90625" customWidth="1"/>
    <col min="2" max="2" width="28.90625" bestFit="1" customWidth="1"/>
    <col min="3" max="13" width="13.36328125" customWidth="1"/>
  </cols>
  <sheetData>
    <row r="2" spans="1:13" x14ac:dyDescent="0.35">
      <c r="B2" s="41" t="str">
        <f>"Historical Financial Staement - "&amp;'Data Sheet'!B1</f>
        <v>Historical Financial Staement - INDIAN BANK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x14ac:dyDescent="0.35">
      <c r="B3" s="1" t="s">
        <v>54</v>
      </c>
      <c r="C3" s="2">
        <f>'Data Sheet'!B16</f>
        <v>42825</v>
      </c>
      <c r="D3" s="2">
        <f>'Data Sheet'!C16</f>
        <v>43190</v>
      </c>
      <c r="E3" s="2">
        <f>'Data Sheet'!D16</f>
        <v>43555</v>
      </c>
      <c r="F3" s="2">
        <f>'Data Sheet'!E16</f>
        <v>43921</v>
      </c>
      <c r="G3" s="2">
        <f>'Data Sheet'!F16</f>
        <v>44286</v>
      </c>
      <c r="H3" s="2">
        <f>'Data Sheet'!G16</f>
        <v>44651</v>
      </c>
      <c r="I3" s="2">
        <f>'Data Sheet'!H16</f>
        <v>45016</v>
      </c>
      <c r="J3" s="2">
        <f>'Data Sheet'!I16</f>
        <v>45382</v>
      </c>
      <c r="K3" s="2">
        <f>'Data Sheet'!J16</f>
        <v>45747</v>
      </c>
      <c r="L3" s="2">
        <f>'Data Sheet'!K16</f>
        <v>46112</v>
      </c>
      <c r="M3" s="3" t="s">
        <v>57</v>
      </c>
    </row>
    <row r="4" spans="1:13" x14ac:dyDescent="0.35">
      <c r="A4" t="s">
        <v>56</v>
      </c>
      <c r="B4" s="4" t="s">
        <v>55</v>
      </c>
    </row>
    <row r="5" spans="1:13" x14ac:dyDescent="0.35">
      <c r="B5" t="s">
        <v>33</v>
      </c>
      <c r="C5" s="11">
        <f>IFERROR('Data Sheet'!B17,0)</f>
        <v>16039.22</v>
      </c>
      <c r="D5" s="11">
        <f>IFERROR('Data Sheet'!C17,0)</f>
        <v>17115.32</v>
      </c>
      <c r="E5" s="11">
        <f>IFERROR('Data Sheet'!D17,0)</f>
        <v>19182.060000000001</v>
      </c>
      <c r="F5" s="11">
        <f>IFERROR('Data Sheet'!E17,0)</f>
        <v>21401.279999999999</v>
      </c>
      <c r="G5" s="11">
        <f>IFERROR('Data Sheet'!F17,0)</f>
        <v>39108.080000000002</v>
      </c>
      <c r="H5" s="11">
        <f>IFERROR('Data Sheet'!G17,0)</f>
        <v>38888.44</v>
      </c>
      <c r="I5" s="11">
        <f>IFERROR('Data Sheet'!H17,0)</f>
        <v>44985.16</v>
      </c>
      <c r="J5" s="11">
        <f>IFERROR('Data Sheet'!I17,0)</f>
        <v>55649.73</v>
      </c>
      <c r="K5" s="11">
        <f>IFERROR('Data Sheet'!J17,0)</f>
        <v>62039.43</v>
      </c>
      <c r="L5" s="11">
        <f>IFERROR('Data Sheet'!K17,0)</f>
        <v>67504.09</v>
      </c>
      <c r="M5" s="11">
        <f>IFERROR(SUM('Data Sheet'!H42:K42),0)</f>
        <v>69314.13</v>
      </c>
    </row>
    <row r="6" spans="1:13" x14ac:dyDescent="0.35">
      <c r="B6" s="5" t="s">
        <v>58</v>
      </c>
      <c r="C6" t="s">
        <v>59</v>
      </c>
      <c r="D6" s="5">
        <f>D5/C5-1</f>
        <v>6.7091791246706611E-2</v>
      </c>
      <c r="E6" s="5">
        <f t="shared" ref="E6:M6" si="0">E5/D5-1</f>
        <v>0.12075380419413717</v>
      </c>
      <c r="F6" s="5">
        <f t="shared" si="0"/>
        <v>0.11569247515647429</v>
      </c>
      <c r="G6" s="5">
        <f t="shared" si="0"/>
        <v>0.82737107313207447</v>
      </c>
      <c r="H6" s="5">
        <f t="shared" si="0"/>
        <v>-5.6162307124256738E-3</v>
      </c>
      <c r="I6" s="5">
        <f t="shared" si="0"/>
        <v>0.15677460962692247</v>
      </c>
      <c r="J6" s="5">
        <f t="shared" si="0"/>
        <v>0.23706862440858267</v>
      </c>
      <c r="K6" s="5">
        <f t="shared" si="0"/>
        <v>0.11481996408607897</v>
      </c>
      <c r="L6" s="5">
        <f t="shared" si="0"/>
        <v>8.8083659053604935E-2</v>
      </c>
      <c r="M6" s="5">
        <f t="shared" si="0"/>
        <v>2.6813782690797039E-2</v>
      </c>
    </row>
    <row r="8" spans="1:13" x14ac:dyDescent="0.35">
      <c r="B8" t="s">
        <v>62</v>
      </c>
      <c r="C8" s="11">
        <f>IFERROR(SUM('Data Sheet'!B18,'Data Sheet'!B20:B22)-1*'Data Sheet'!B19,0)</f>
        <v>2089.8000000000002</v>
      </c>
      <c r="D8" s="11">
        <f>IFERROR(SUM('Data Sheet'!C18,'Data Sheet'!C20:C22)-1*'Data Sheet'!C19,0)</f>
        <v>2200.11</v>
      </c>
      <c r="E8" s="11">
        <f>IFERROR(SUM('Data Sheet'!D18,'Data Sheet'!D20:D22)-1*'Data Sheet'!D19,0)</f>
        <v>2323.92</v>
      </c>
      <c r="F8" s="11">
        <f>IFERROR(SUM('Data Sheet'!E18,'Data Sheet'!E20:E22)-1*'Data Sheet'!E19,0)</f>
        <v>2573.2400000000002</v>
      </c>
      <c r="G8" s="11">
        <f>IFERROR(SUM('Data Sheet'!F18,'Data Sheet'!F20:F22)-1*'Data Sheet'!F19,0)</f>
        <v>6614.1500000000005</v>
      </c>
      <c r="H8" s="11">
        <f>IFERROR(SUM('Data Sheet'!G18,'Data Sheet'!G20:G22)-1*'Data Sheet'!G19,0)</f>
        <v>6985.94</v>
      </c>
      <c r="I8" s="11">
        <f>IFERROR(SUM('Data Sheet'!H18,'Data Sheet'!H20:H22)-1*'Data Sheet'!H19,0)</f>
        <v>7775.75</v>
      </c>
      <c r="J8" s="11">
        <f>IFERROR(SUM('Data Sheet'!I18,'Data Sheet'!I20:I22)-1*'Data Sheet'!I19,0)</f>
        <v>9574.89</v>
      </c>
      <c r="K8" s="11">
        <f>IFERROR(SUM('Data Sheet'!J18,'Data Sheet'!J20:J22)-1*'Data Sheet'!J19,0)</f>
        <v>10251.1</v>
      </c>
      <c r="L8" s="11">
        <f>IFERROR(SUM('Data Sheet'!K18,'Data Sheet'!K20:K22)-1*'Data Sheet'!K19,0)</f>
        <v>11163.94</v>
      </c>
      <c r="M8" s="11">
        <f>IFERROR(SUM('Data Sheet'!H43:K43),0)</f>
        <v>22358.41</v>
      </c>
    </row>
    <row r="9" spans="1:13" x14ac:dyDescent="0.35">
      <c r="B9" s="5" t="s">
        <v>60</v>
      </c>
      <c r="C9" s="5">
        <f>C8/C5</f>
        <v>0.13029311899207072</v>
      </c>
      <c r="D9" s="5">
        <f t="shared" ref="D9:M9" si="1">D8/D5</f>
        <v>0.12854623810714613</v>
      </c>
      <c r="E9" s="5">
        <f t="shared" si="1"/>
        <v>0.12115070018548581</v>
      </c>
      <c r="F9" s="5">
        <f t="shared" si="1"/>
        <v>0.12023766802733296</v>
      </c>
      <c r="G9" s="5">
        <f t="shared" si="1"/>
        <v>0.16912489695224109</v>
      </c>
      <c r="H9" s="5">
        <f t="shared" si="1"/>
        <v>0.17964053070784014</v>
      </c>
      <c r="I9" s="5">
        <f t="shared" si="1"/>
        <v>0.17285144701052524</v>
      </c>
      <c r="J9" s="5">
        <f t="shared" si="1"/>
        <v>0.17205636038126329</v>
      </c>
      <c r="K9" s="5">
        <f t="shared" si="1"/>
        <v>0.16523523829925582</v>
      </c>
      <c r="L9" s="5">
        <f t="shared" si="1"/>
        <v>0.1653816827987756</v>
      </c>
      <c r="M9" s="5">
        <f t="shared" si="1"/>
        <v>0.3225664088981568</v>
      </c>
    </row>
    <row r="11" spans="1:13" x14ac:dyDescent="0.35">
      <c r="B11" s="13" t="s">
        <v>61</v>
      </c>
      <c r="C11" s="14">
        <f t="shared" ref="C11:M11" si="2">C5-C8</f>
        <v>13949.419999999998</v>
      </c>
      <c r="D11" s="14">
        <f t="shared" si="2"/>
        <v>14915.21</v>
      </c>
      <c r="E11" s="14">
        <f t="shared" si="2"/>
        <v>16858.14</v>
      </c>
      <c r="F11" s="14">
        <f t="shared" si="2"/>
        <v>18828.039999999997</v>
      </c>
      <c r="G11" s="14">
        <f t="shared" si="2"/>
        <v>32493.93</v>
      </c>
      <c r="H11" s="14">
        <f t="shared" si="2"/>
        <v>31902.500000000004</v>
      </c>
      <c r="I11" s="14">
        <f t="shared" si="2"/>
        <v>37209.410000000003</v>
      </c>
      <c r="J11" s="14">
        <f t="shared" si="2"/>
        <v>46074.840000000004</v>
      </c>
      <c r="K11" s="14">
        <f t="shared" si="2"/>
        <v>51788.33</v>
      </c>
      <c r="L11" s="14">
        <f t="shared" si="2"/>
        <v>56340.149999999994</v>
      </c>
      <c r="M11" s="14">
        <f t="shared" si="2"/>
        <v>46955.72</v>
      </c>
    </row>
    <row r="12" spans="1:13" x14ac:dyDescent="0.35">
      <c r="B12" s="5" t="s">
        <v>69</v>
      </c>
      <c r="C12" s="5">
        <f>C11/C5</f>
        <v>0.86970688100792926</v>
      </c>
      <c r="D12" s="5">
        <f t="shared" ref="D12:M12" si="3">D11/D5</f>
        <v>0.87145376189285384</v>
      </c>
      <c r="E12" s="5">
        <f t="shared" si="3"/>
        <v>0.8788492998145141</v>
      </c>
      <c r="F12" s="5">
        <f t="shared" si="3"/>
        <v>0.87976233197266696</v>
      </c>
      <c r="G12" s="5">
        <f t="shared" si="3"/>
        <v>0.83087510304775891</v>
      </c>
      <c r="H12" s="5">
        <f t="shared" si="3"/>
        <v>0.82035946929215986</v>
      </c>
      <c r="I12" s="5">
        <f t="shared" si="3"/>
        <v>0.82714855298947476</v>
      </c>
      <c r="J12" s="5">
        <f t="shared" si="3"/>
        <v>0.82794363961873674</v>
      </c>
      <c r="K12" s="5">
        <f t="shared" si="3"/>
        <v>0.83476476170074421</v>
      </c>
      <c r="L12" s="5">
        <f t="shared" si="3"/>
        <v>0.83461831720122437</v>
      </c>
      <c r="M12" s="5">
        <f t="shared" si="3"/>
        <v>0.67743359110184309</v>
      </c>
    </row>
    <row r="14" spans="1:13" x14ac:dyDescent="0.35">
      <c r="B14" t="s">
        <v>63</v>
      </c>
      <c r="C14" s="11">
        <f>IFERROR(SUM('Data Sheet'!B23:B24),0)</f>
        <v>4053.77</v>
      </c>
      <c r="D14" s="11">
        <f>IFERROR(SUM('Data Sheet'!C23:C24),0)</f>
        <v>4798.1899999999996</v>
      </c>
      <c r="E14" s="11">
        <f>IFERROR(SUM('Data Sheet'!D23:D24),0)</f>
        <v>5964.87</v>
      </c>
      <c r="F14" s="11">
        <f>IFERROR(SUM('Data Sheet'!E23:E24),0)</f>
        <v>6664.5700000000006</v>
      </c>
      <c r="G14" s="11">
        <f>IFERROR(SUM('Data Sheet'!F23:F24),0)</f>
        <v>11414.810000000001</v>
      </c>
      <c r="H14" s="11">
        <f>IFERROR(SUM('Data Sheet'!G23:G24),0)</f>
        <v>13298.8</v>
      </c>
      <c r="I14" s="11">
        <f>IFERROR(SUM('Data Sheet'!H23:H24),0)</f>
        <v>13801.04</v>
      </c>
      <c r="J14" s="11">
        <f>IFERROR(SUM('Data Sheet'!I23:I24),0)</f>
        <v>10767.54</v>
      </c>
      <c r="K14" s="11">
        <f>IFERROR(SUM('Data Sheet'!J23:J24),0)</f>
        <v>9567.08</v>
      </c>
      <c r="L14" s="11">
        <f>IFERROR(SUM('Data Sheet'!K23:K24),0)</f>
        <v>9546.18</v>
      </c>
      <c r="M14" s="11">
        <f>IFERROR(SUM('Data Sheet'!L23:L24),0)</f>
        <v>0</v>
      </c>
    </row>
    <row r="15" spans="1:13" x14ac:dyDescent="0.35">
      <c r="B15" s="5" t="s">
        <v>64</v>
      </c>
      <c r="C15" s="5">
        <f t="shared" ref="C15:L15" si="4">C14/C5</f>
        <v>0.25274109339481599</v>
      </c>
      <c r="D15" s="5">
        <f t="shared" si="4"/>
        <v>0.28034474377341467</v>
      </c>
      <c r="E15" s="5">
        <f t="shared" si="4"/>
        <v>0.31096086655969168</v>
      </c>
      <c r="F15" s="5">
        <f t="shared" si="4"/>
        <v>0.31140987828765387</v>
      </c>
      <c r="G15" s="5">
        <f t="shared" si="4"/>
        <v>0.29187855808825186</v>
      </c>
      <c r="H15" s="5">
        <f t="shared" si="4"/>
        <v>0.34197309020366973</v>
      </c>
      <c r="I15" s="5">
        <f t="shared" si="4"/>
        <v>0.30679095061571415</v>
      </c>
      <c r="J15" s="5">
        <f t="shared" si="4"/>
        <v>0.19348773120732124</v>
      </c>
      <c r="K15" s="5">
        <f t="shared" si="4"/>
        <v>0.15420966956014909</v>
      </c>
      <c r="L15" s="5">
        <f t="shared" si="4"/>
        <v>0.1414163201074187</v>
      </c>
    </row>
    <row r="17" spans="2:13" x14ac:dyDescent="0.35">
      <c r="B17" s="13" t="s">
        <v>65</v>
      </c>
      <c r="C17" s="14">
        <f t="shared" ref="C17:L17" si="5">C11-C14</f>
        <v>9895.6499999999978</v>
      </c>
      <c r="D17" s="14">
        <f t="shared" si="5"/>
        <v>10117.02</v>
      </c>
      <c r="E17" s="14">
        <f t="shared" si="5"/>
        <v>10893.27</v>
      </c>
      <c r="F17" s="14">
        <f t="shared" si="5"/>
        <v>12163.469999999998</v>
      </c>
      <c r="G17" s="14">
        <f t="shared" si="5"/>
        <v>21079.119999999999</v>
      </c>
      <c r="H17" s="14">
        <f t="shared" si="5"/>
        <v>18603.700000000004</v>
      </c>
      <c r="I17" s="14">
        <f t="shared" si="5"/>
        <v>23408.370000000003</v>
      </c>
      <c r="J17" s="14">
        <f t="shared" si="5"/>
        <v>35307.300000000003</v>
      </c>
      <c r="K17" s="14">
        <f t="shared" si="5"/>
        <v>42221.25</v>
      </c>
      <c r="L17" s="14">
        <f t="shared" si="5"/>
        <v>46793.969999999994</v>
      </c>
      <c r="M17" s="14">
        <f>IFERROR(SUM('Data Sheet'!H51:K51),0)</f>
        <v>80458</v>
      </c>
    </row>
    <row r="18" spans="2:13" x14ac:dyDescent="0.35">
      <c r="B18" s="5" t="s">
        <v>66</v>
      </c>
      <c r="C18" s="5">
        <f t="shared" ref="C18:M18" si="6">C17/C5</f>
        <v>0.61696578761311327</v>
      </c>
      <c r="D18" s="5">
        <f t="shared" si="6"/>
        <v>0.59110901811943928</v>
      </c>
      <c r="E18" s="5">
        <f t="shared" si="6"/>
        <v>0.56788843325482241</v>
      </c>
      <c r="F18" s="5">
        <f t="shared" si="6"/>
        <v>0.56835245368501319</v>
      </c>
      <c r="G18" s="5">
        <f t="shared" si="6"/>
        <v>0.538996544959507</v>
      </c>
      <c r="H18" s="5">
        <f t="shared" si="6"/>
        <v>0.47838637908849013</v>
      </c>
      <c r="I18" s="5">
        <f t="shared" si="6"/>
        <v>0.52035760237376061</v>
      </c>
      <c r="J18" s="5">
        <f t="shared" si="6"/>
        <v>0.63445590841141553</v>
      </c>
      <c r="K18" s="5">
        <f t="shared" si="6"/>
        <v>0.68055509214059506</v>
      </c>
      <c r="L18" s="5">
        <f t="shared" si="6"/>
        <v>0.6932019970938057</v>
      </c>
      <c r="M18" s="5">
        <f t="shared" si="6"/>
        <v>1.1607734238314755</v>
      </c>
    </row>
    <row r="20" spans="2:13" x14ac:dyDescent="0.35">
      <c r="B20" t="s">
        <v>29</v>
      </c>
      <c r="C20" s="11">
        <f>IFERROR('Data Sheet'!B27,0)</f>
        <v>10891.46</v>
      </c>
      <c r="D20" s="11">
        <f>IFERROR('Data Sheet'!C27,0)</f>
        <v>10851.28</v>
      </c>
      <c r="E20" s="11">
        <f>IFERROR('Data Sheet'!D27,0)</f>
        <v>12166.75</v>
      </c>
      <c r="F20" s="11">
        <f>IFERROR('Data Sheet'!E27,0)</f>
        <v>13797.51</v>
      </c>
      <c r="G20" s="11">
        <f>IFERROR('Data Sheet'!F27,0)</f>
        <v>23438.799999999999</v>
      </c>
      <c r="H20" s="11">
        <f>IFERROR('Data Sheet'!G27,0)</f>
        <v>22129.25</v>
      </c>
      <c r="I20" s="11">
        <f>IFERROR('Data Sheet'!H27,0)</f>
        <v>24717.29</v>
      </c>
      <c r="J20" s="11">
        <f>IFERROR('Data Sheet'!I27,0)</f>
        <v>32340.76</v>
      </c>
      <c r="K20" s="11">
        <f>IFERROR('Data Sheet'!J27,0)</f>
        <v>36826.25</v>
      </c>
      <c r="L20" s="11">
        <f>IFERROR('Data Sheet'!K27,0)</f>
        <v>40538.660000000003</v>
      </c>
      <c r="M20" s="11">
        <f>IFERROR(SUM('Data Sheet'!H46:K46),0)</f>
        <v>41271.43</v>
      </c>
    </row>
    <row r="21" spans="2:13" x14ac:dyDescent="0.35">
      <c r="B21" s="5" t="s">
        <v>67</v>
      </c>
      <c r="C21" s="5">
        <f t="shared" ref="C21:M21" si="7">C20/C5</f>
        <v>0.67905172446041639</v>
      </c>
      <c r="D21" s="5">
        <f t="shared" si="7"/>
        <v>0.63400976435146994</v>
      </c>
      <c r="E21" s="5">
        <f t="shared" si="7"/>
        <v>0.63427754891810362</v>
      </c>
      <c r="F21" s="5">
        <f t="shared" si="7"/>
        <v>0.644704896155744</v>
      </c>
      <c r="G21" s="5">
        <f t="shared" si="7"/>
        <v>0.59933394838099951</v>
      </c>
      <c r="H21" s="5">
        <f t="shared" si="7"/>
        <v>0.56904442554136903</v>
      </c>
      <c r="I21" s="5">
        <f t="shared" si="7"/>
        <v>0.54945430893210112</v>
      </c>
      <c r="J21" s="5">
        <f t="shared" si="7"/>
        <v>0.58114855184382741</v>
      </c>
      <c r="K21" s="5">
        <f t="shared" si="7"/>
        <v>0.59359426738769194</v>
      </c>
      <c r="L21" s="5">
        <f t="shared" si="7"/>
        <v>0.60053635268618544</v>
      </c>
      <c r="M21" s="5">
        <f t="shared" si="7"/>
        <v>0.59542592542097839</v>
      </c>
    </row>
    <row r="23" spans="2:13" x14ac:dyDescent="0.35">
      <c r="B23" t="s">
        <v>30</v>
      </c>
      <c r="C23" s="11">
        <f>IFERROR('Data Sheet'!B26,0)</f>
        <v>166.24</v>
      </c>
      <c r="D23" s="11">
        <f>IFERROR('Data Sheet'!C26,0)</f>
        <v>236.84</v>
      </c>
      <c r="E23" s="11">
        <f>IFERROR('Data Sheet'!D26,0)</f>
        <v>259.29000000000002</v>
      </c>
      <c r="F23" s="11">
        <f>IFERROR('Data Sheet'!E26,0)</f>
        <v>314.01</v>
      </c>
      <c r="G23" s="11">
        <f>IFERROR('Data Sheet'!F26,0)</f>
        <v>636.9</v>
      </c>
      <c r="H23" s="11">
        <f>IFERROR('Data Sheet'!G26,0)</f>
        <v>600.86</v>
      </c>
      <c r="I23" s="11">
        <f>IFERROR('Data Sheet'!H26,0)</f>
        <v>532.39</v>
      </c>
      <c r="J23" s="11">
        <f>IFERROR('Data Sheet'!I26,0)</f>
        <v>531.14</v>
      </c>
      <c r="K23" s="11">
        <f>IFERROR('Data Sheet'!J26,0)</f>
        <v>542.94000000000005</v>
      </c>
      <c r="L23" s="11">
        <f>IFERROR('Data Sheet'!K26,0)</f>
        <v>608.86</v>
      </c>
      <c r="M23" s="11">
        <f>IFERROR(SUM('Data Sheet'!H45:K45),0)</f>
        <v>0</v>
      </c>
    </row>
    <row r="24" spans="2:13" x14ac:dyDescent="0.35">
      <c r="B24" s="5" t="s">
        <v>68</v>
      </c>
      <c r="C24" s="5">
        <f t="shared" ref="C24:M24" si="8">C23/C5</f>
        <v>1.0364593789473554E-2</v>
      </c>
      <c r="D24" s="5">
        <f t="shared" si="8"/>
        <v>1.3837894938569656E-2</v>
      </c>
      <c r="E24" s="5">
        <f t="shared" si="8"/>
        <v>1.3517317743766832E-2</v>
      </c>
      <c r="F24" s="5">
        <f t="shared" si="8"/>
        <v>1.4672486879289463E-2</v>
      </c>
      <c r="G24" s="5">
        <f t="shared" si="8"/>
        <v>1.6285637136878108E-2</v>
      </c>
      <c r="H24" s="5">
        <f t="shared" si="8"/>
        <v>1.5450864061402309E-2</v>
      </c>
      <c r="I24" s="5">
        <f t="shared" si="8"/>
        <v>1.1834791740209436E-2</v>
      </c>
      <c r="J24" s="5">
        <f t="shared" si="8"/>
        <v>9.5443410057874482E-3</v>
      </c>
      <c r="K24" s="5">
        <f t="shared" si="8"/>
        <v>8.7515310827323851E-3</v>
      </c>
      <c r="L24" s="5">
        <f t="shared" si="8"/>
        <v>9.0196016271014111E-3</v>
      </c>
      <c r="M24" s="5">
        <f t="shared" si="8"/>
        <v>0</v>
      </c>
    </row>
    <row r="26" spans="2:13" x14ac:dyDescent="0.35">
      <c r="B26" s="13" t="s">
        <v>70</v>
      </c>
      <c r="C26" s="14">
        <f>IFERROR(HistoricalFS!C17-SUM(HistoricalFS!C20,HistoricalFS!C23),0)</f>
        <v>-1162.0500000000011</v>
      </c>
      <c r="D26" s="14">
        <f>IFERROR(HistoricalFS!D17-SUM(HistoricalFS!D20,HistoricalFS!D23),0)</f>
        <v>-971.10000000000036</v>
      </c>
      <c r="E26" s="14">
        <f>IFERROR(HistoricalFS!E17-SUM(HistoricalFS!E20,HistoricalFS!E23),0)</f>
        <v>-1532.7700000000004</v>
      </c>
      <c r="F26" s="14">
        <f>IFERROR(HistoricalFS!F17-SUM(HistoricalFS!F20,HistoricalFS!F23),0)</f>
        <v>-1948.0500000000029</v>
      </c>
      <c r="G26" s="14">
        <f>IFERROR(HistoricalFS!G17-SUM(HistoricalFS!G20,HistoricalFS!G23),0)</f>
        <v>-2996.5800000000017</v>
      </c>
      <c r="H26" s="14">
        <f>IFERROR(HistoricalFS!H17-SUM(HistoricalFS!H20,HistoricalFS!H23),0)</f>
        <v>-4126.4099999999962</v>
      </c>
      <c r="I26" s="14">
        <f>IFERROR(HistoricalFS!I17-SUM(HistoricalFS!I20,HistoricalFS!I23),0)</f>
        <v>-1841.3099999999977</v>
      </c>
      <c r="J26" s="14">
        <f>IFERROR(HistoricalFS!J17-SUM(HistoricalFS!J20,HistoricalFS!J23),0)</f>
        <v>2435.4000000000015</v>
      </c>
      <c r="K26" s="14">
        <f>IFERROR(HistoricalFS!K17-SUM(HistoricalFS!K20,HistoricalFS!K23),0)</f>
        <v>4852.0599999999977</v>
      </c>
      <c r="L26" s="14">
        <f>IFERROR(HistoricalFS!L17-SUM(HistoricalFS!L20,HistoricalFS!L23),0)</f>
        <v>5646.4499999999898</v>
      </c>
      <c r="M26" s="14">
        <f>IFERROR(HistoricalFS!M17-SUM(HistoricalFS!M20,HistoricalFS!M23),0)</f>
        <v>39186.57</v>
      </c>
    </row>
    <row r="27" spans="2:13" x14ac:dyDescent="0.35">
      <c r="B27" s="5" t="s">
        <v>71</v>
      </c>
      <c r="C27" s="5">
        <f>IFERROR(C26/C5,0)</f>
        <v>-7.2450530636776672E-2</v>
      </c>
      <c r="D27" s="5">
        <f t="shared" ref="D27:M27" si="9">IFERROR(D26/D5,0)</f>
        <v>-5.6738641170600394E-2</v>
      </c>
      <c r="E27" s="5">
        <f t="shared" si="9"/>
        <v>-7.9906433407048061E-2</v>
      </c>
      <c r="F27" s="5">
        <f t="shared" si="9"/>
        <v>-9.1024929350020323E-2</v>
      </c>
      <c r="G27" s="5">
        <f t="shared" si="9"/>
        <v>-7.6623040558370589E-2</v>
      </c>
      <c r="H27" s="5">
        <f t="shared" si="9"/>
        <v>-0.10610891051428126</v>
      </c>
      <c r="I27" s="5">
        <f t="shared" si="9"/>
        <v>-4.0931498298549959E-2</v>
      </c>
      <c r="J27" s="5">
        <f t="shared" si="9"/>
        <v>4.3763015561800594E-2</v>
      </c>
      <c r="K27" s="5">
        <f t="shared" si="9"/>
        <v>7.8209293670170696E-2</v>
      </c>
      <c r="L27" s="5">
        <f t="shared" si="9"/>
        <v>8.3646042780518778E-2</v>
      </c>
      <c r="M27" s="5">
        <f t="shared" si="9"/>
        <v>0.56534749841049725</v>
      </c>
    </row>
    <row r="29" spans="2:13" x14ac:dyDescent="0.35">
      <c r="B29" t="s">
        <v>72</v>
      </c>
      <c r="C29" s="11">
        <f>IFERROR('Data Sheet'!B29,0)</f>
        <v>-352.56</v>
      </c>
      <c r="D29" s="11">
        <f>IFERROR('Data Sheet'!C29,0)</f>
        <v>182.57</v>
      </c>
      <c r="E29" s="11">
        <f>IFERROR('Data Sheet'!D29,0)</f>
        <v>37.74</v>
      </c>
      <c r="F29" s="11">
        <f>IFERROR('Data Sheet'!E29,0)</f>
        <v>619.37</v>
      </c>
      <c r="G29" s="11">
        <f>IFERROR('Data Sheet'!F29,0)</f>
        <v>99.1</v>
      </c>
      <c r="H29" s="11">
        <f>IFERROR('Data Sheet'!G29,0)</f>
        <v>-740.59</v>
      </c>
      <c r="I29" s="11">
        <f>IFERROR('Data Sheet'!H29,0)</f>
        <v>632.71</v>
      </c>
      <c r="J29" s="11">
        <f>IFERROR('Data Sheet'!I29,0)</f>
        <v>2888.2</v>
      </c>
      <c r="K29" s="11">
        <f>IFERROR('Data Sheet'!J29,0)</f>
        <v>3868.64</v>
      </c>
      <c r="L29" s="11">
        <f>IFERROR('Data Sheet'!K29,0)</f>
        <v>4248.07</v>
      </c>
      <c r="M29" s="11">
        <f>IFERROR('Data Sheet'!L29,0)</f>
        <v>0</v>
      </c>
    </row>
    <row r="30" spans="2:13" x14ac:dyDescent="0.35">
      <c r="B30" s="5" t="s">
        <v>73</v>
      </c>
      <c r="C30" s="5">
        <f>C29/C5</f>
        <v>-2.1981118782584193E-2</v>
      </c>
      <c r="D30" s="5">
        <f t="shared" ref="D30:M30" si="10">D29/D5</f>
        <v>1.0667051507070858E-2</v>
      </c>
      <c r="E30" s="5">
        <f t="shared" si="10"/>
        <v>1.9674633485663165E-3</v>
      </c>
      <c r="F30" s="5">
        <f t="shared" si="10"/>
        <v>2.8940792326440288E-2</v>
      </c>
      <c r="G30" s="5">
        <f t="shared" si="10"/>
        <v>2.5340032034300839E-3</v>
      </c>
      <c r="H30" s="5">
        <f t="shared" si="10"/>
        <v>-1.9043962678883492E-2</v>
      </c>
      <c r="I30" s="5">
        <f t="shared" si="10"/>
        <v>1.4064860500662885E-2</v>
      </c>
      <c r="J30" s="5">
        <f t="shared" si="10"/>
        <v>5.1899622873282578E-2</v>
      </c>
      <c r="K30" s="5">
        <f t="shared" si="10"/>
        <v>6.2357761829855626E-2</v>
      </c>
      <c r="L30" s="5">
        <f t="shared" si="10"/>
        <v>6.2930557244753618E-2</v>
      </c>
      <c r="M30" s="5">
        <f t="shared" si="10"/>
        <v>0</v>
      </c>
    </row>
    <row r="32" spans="2:13" x14ac:dyDescent="0.35">
      <c r="B32" s="13" t="s">
        <v>74</v>
      </c>
      <c r="C32" s="14">
        <f>IFERROR(C26-C29,0)</f>
        <v>-809.49000000000115</v>
      </c>
      <c r="D32" s="14">
        <f t="shared" ref="D32:M32" si="11">IFERROR(D26-D29,0)</f>
        <v>-1153.6700000000003</v>
      </c>
      <c r="E32" s="14">
        <f t="shared" si="11"/>
        <v>-1570.5100000000004</v>
      </c>
      <c r="F32" s="14">
        <f t="shared" si="11"/>
        <v>-2567.4200000000028</v>
      </c>
      <c r="G32" s="14">
        <f t="shared" si="11"/>
        <v>-3095.6800000000017</v>
      </c>
      <c r="H32" s="14">
        <f t="shared" si="11"/>
        <v>-3385.8199999999961</v>
      </c>
      <c r="I32" s="14">
        <f t="shared" si="11"/>
        <v>-2474.0199999999977</v>
      </c>
      <c r="J32" s="14">
        <f t="shared" si="11"/>
        <v>-452.79999999999836</v>
      </c>
      <c r="K32" s="14">
        <f t="shared" si="11"/>
        <v>983.4199999999978</v>
      </c>
      <c r="L32" s="14">
        <f t="shared" si="11"/>
        <v>1398.3799999999901</v>
      </c>
      <c r="M32" s="14">
        <f t="shared" si="11"/>
        <v>39186.57</v>
      </c>
    </row>
    <row r="33" spans="1:13" x14ac:dyDescent="0.35">
      <c r="B33" s="5" t="s">
        <v>75</v>
      </c>
      <c r="C33" s="5">
        <f>C32/C5</f>
        <v>-5.0469411854192486E-2</v>
      </c>
      <c r="D33" s="5">
        <f t="shared" ref="D33:M33" si="12">D32/D5</f>
        <v>-6.7405692677671256E-2</v>
      </c>
      <c r="E33" s="5">
        <f t="shared" si="12"/>
        <v>-8.1873896755614378E-2</v>
      </c>
      <c r="F33" s="5">
        <f t="shared" si="12"/>
        <v>-0.11996572167646061</v>
      </c>
      <c r="G33" s="5">
        <f t="shared" si="12"/>
        <v>-7.9157043761800674E-2</v>
      </c>
      <c r="H33" s="5">
        <f t="shared" si="12"/>
        <v>-8.7064947835397768E-2</v>
      </c>
      <c r="I33" s="5">
        <f t="shared" si="12"/>
        <v>-5.4996358799212844E-2</v>
      </c>
      <c r="J33" s="5">
        <f t="shared" si="12"/>
        <v>-8.1366073114819849E-3</v>
      </c>
      <c r="K33" s="5">
        <f t="shared" si="12"/>
        <v>1.5851531840315066E-2</v>
      </c>
      <c r="L33" s="5">
        <f t="shared" si="12"/>
        <v>2.0715485535765171E-2</v>
      </c>
      <c r="M33" s="5">
        <f t="shared" si="12"/>
        <v>0.56534749841049725</v>
      </c>
    </row>
    <row r="35" spans="1:13" x14ac:dyDescent="0.35">
      <c r="B35" t="s">
        <v>76</v>
      </c>
      <c r="C35" s="11">
        <f>IFERROR('Data Sheet'!B93,0)</f>
        <v>48.03</v>
      </c>
      <c r="D35" s="11">
        <f>IFERROR('Data Sheet'!C93,0)</f>
        <v>48.03</v>
      </c>
      <c r="E35" s="11">
        <f>IFERROR('Data Sheet'!D93,0)</f>
        <v>48.03</v>
      </c>
      <c r="F35" s="11">
        <f>IFERROR('Data Sheet'!E93,0)</f>
        <v>60.88</v>
      </c>
      <c r="G35" s="11">
        <f>IFERROR('Data Sheet'!F93,0)</f>
        <v>112.94</v>
      </c>
      <c r="H35" s="11">
        <f>IFERROR('Data Sheet'!G93,0)</f>
        <v>124.54</v>
      </c>
      <c r="I35" s="11">
        <f>IFERROR('Data Sheet'!H93,0)</f>
        <v>124.54</v>
      </c>
      <c r="J35" s="11">
        <f>IFERROR('Data Sheet'!I93,0)</f>
        <v>134.69999999999999</v>
      </c>
      <c r="K35" s="11">
        <f>IFERROR('Data Sheet'!J93,0)</f>
        <v>134.69999999999999</v>
      </c>
      <c r="L35" s="11">
        <f>IFERROR('Data Sheet'!K93,0)</f>
        <v>134.69999999999999</v>
      </c>
      <c r="M35" s="11">
        <f>IFERROR('Data Sheet'!L93,0)</f>
        <v>0</v>
      </c>
    </row>
    <row r="37" spans="1:13" x14ac:dyDescent="0.35">
      <c r="B37" t="s">
        <v>77</v>
      </c>
      <c r="C37" s="11">
        <f>IFERROR(C32/C35,0)</f>
        <v>-16.853841349156802</v>
      </c>
      <c r="D37" s="11">
        <f t="shared" ref="D37:M37" si="13">IFERROR(D32/D35,0)</f>
        <v>-24.019779304601297</v>
      </c>
      <c r="E37" s="11">
        <f t="shared" si="13"/>
        <v>-32.698521757235071</v>
      </c>
      <c r="F37" s="11">
        <f t="shared" si="13"/>
        <v>-42.1718134034166</v>
      </c>
      <c r="G37" s="11">
        <f t="shared" si="13"/>
        <v>-27.409952187001963</v>
      </c>
      <c r="H37" s="11">
        <f t="shared" si="13"/>
        <v>-27.186606712702712</v>
      </c>
      <c r="I37" s="11">
        <f t="shared" si="13"/>
        <v>-19.865264172153505</v>
      </c>
      <c r="J37" s="11">
        <f t="shared" si="13"/>
        <v>-3.3615441722345833</v>
      </c>
      <c r="K37" s="11">
        <f t="shared" si="13"/>
        <v>7.3008166295471257</v>
      </c>
      <c r="L37" s="11">
        <f t="shared" si="13"/>
        <v>10.381440237564886</v>
      </c>
      <c r="M37" s="11">
        <f t="shared" si="13"/>
        <v>0</v>
      </c>
    </row>
    <row r="38" spans="1:13" x14ac:dyDescent="0.35">
      <c r="B38" s="5" t="s">
        <v>78</v>
      </c>
      <c r="C38" s="5">
        <f>C37/C37-1</f>
        <v>0</v>
      </c>
      <c r="D38" s="5">
        <f>D37/C37-1</f>
        <v>0.42518128698316038</v>
      </c>
      <c r="E38" s="5">
        <f t="shared" ref="E38:M38" si="14">E37/D37-1</f>
        <v>0.36131649431813262</v>
      </c>
      <c r="F38" s="5">
        <f t="shared" si="14"/>
        <v>0.28971620541486431</v>
      </c>
      <c r="G38" s="5">
        <f t="shared" si="14"/>
        <v>-0.35004094026506072</v>
      </c>
      <c r="H38" s="5">
        <f t="shared" si="14"/>
        <v>-8.1483350563874568E-3</v>
      </c>
      <c r="I38" s="5">
        <f t="shared" si="14"/>
        <v>-0.26929960836665845</v>
      </c>
      <c r="J38" s="5">
        <f t="shared" si="14"/>
        <v>-0.83078281048249591</v>
      </c>
      <c r="K38" s="5">
        <f t="shared" si="14"/>
        <v>-3.1718639575971763</v>
      </c>
      <c r="L38" s="5">
        <f t="shared" si="14"/>
        <v>0.42195603099387169</v>
      </c>
      <c r="M38" s="5">
        <f t="shared" si="14"/>
        <v>-1</v>
      </c>
    </row>
    <row r="40" spans="1:13" x14ac:dyDescent="0.35">
      <c r="B40" t="s">
        <v>79</v>
      </c>
      <c r="C40" s="11">
        <f>IFERROR('Data Sheet'!B31/HistoricalFS!C35,0)</f>
        <v>5.9997917967936711</v>
      </c>
      <c r="D40" s="11">
        <f>IFERROR('Data Sheet'!C31/HistoricalFS!D35,0)</f>
        <v>0</v>
      </c>
      <c r="E40" s="11">
        <f>IFERROR('Data Sheet'!D31/HistoricalFS!E35,0)</f>
        <v>0</v>
      </c>
      <c r="F40" s="11">
        <f>IFERROR('Data Sheet'!E31/HistoricalFS!F35,0)</f>
        <v>0</v>
      </c>
      <c r="G40" s="11">
        <f>IFERROR('Data Sheet'!F31/HistoricalFS!G35,0)</f>
        <v>1.9999114574110148</v>
      </c>
      <c r="H40" s="11">
        <f>IFERROR('Data Sheet'!G31/HistoricalFS!H35,0)</f>
        <v>6.5002408864621799</v>
      </c>
      <c r="I40" s="11">
        <f>IFERROR('Data Sheet'!H31/HistoricalFS!I35,0)</f>
        <v>8.6002890637546159</v>
      </c>
      <c r="J40" s="11">
        <f>IFERROR('Data Sheet'!I31/HistoricalFS!J35,0)</f>
        <v>11.9996288047513</v>
      </c>
      <c r="K40" s="11">
        <f>IFERROR('Data Sheet'!J31/HistoricalFS!K35,0)</f>
        <v>16.249517446176689</v>
      </c>
      <c r="L40" s="11">
        <f>IFERROR('Data Sheet'!K31/HistoricalFS!L35,0)</f>
        <v>18.249443207126948</v>
      </c>
      <c r="M40" s="11">
        <f>IFERROR('Data Sheet'!L31/HistoricalFS!M35,0)</f>
        <v>0</v>
      </c>
    </row>
    <row r="41" spans="1:13" x14ac:dyDescent="0.35">
      <c r="B41" s="5" t="s">
        <v>79</v>
      </c>
      <c r="C41" s="5">
        <f>IFERROR(IF(C37&gt;C40,1-C38,0),0)</f>
        <v>0</v>
      </c>
      <c r="D41" s="5">
        <f t="shared" ref="D41:M41" si="15">IFERROR(IF(D37&gt;D40,1-D38,0),0)</f>
        <v>0</v>
      </c>
      <c r="E41" s="5">
        <f t="shared" si="15"/>
        <v>0</v>
      </c>
      <c r="F41" s="5">
        <f t="shared" si="15"/>
        <v>0</v>
      </c>
      <c r="G41" s="5">
        <f t="shared" si="15"/>
        <v>0</v>
      </c>
      <c r="H41" s="5">
        <f t="shared" si="15"/>
        <v>0</v>
      </c>
      <c r="I41" s="5">
        <f t="shared" si="15"/>
        <v>0</v>
      </c>
      <c r="J41" s="5">
        <f t="shared" si="15"/>
        <v>0</v>
      </c>
      <c r="K41" s="5">
        <f t="shared" si="15"/>
        <v>0</v>
      </c>
      <c r="L41" s="5">
        <f t="shared" si="15"/>
        <v>0</v>
      </c>
      <c r="M41" s="5">
        <f t="shared" si="15"/>
        <v>0</v>
      </c>
    </row>
    <row r="43" spans="1:13" x14ac:dyDescent="0.35">
      <c r="B43" t="s">
        <v>80</v>
      </c>
      <c r="C43" s="6">
        <f>IFERROR(1-C41,0)</f>
        <v>1</v>
      </c>
      <c r="D43" s="6">
        <f t="shared" ref="D43:M43" si="16">IFERROR(1-D41,0)</f>
        <v>1</v>
      </c>
      <c r="E43" s="6">
        <f t="shared" si="16"/>
        <v>1</v>
      </c>
      <c r="F43" s="6">
        <f t="shared" si="16"/>
        <v>1</v>
      </c>
      <c r="G43" s="6">
        <f t="shared" si="16"/>
        <v>1</v>
      </c>
      <c r="H43" s="6">
        <f t="shared" si="16"/>
        <v>1</v>
      </c>
      <c r="I43" s="6">
        <f t="shared" si="16"/>
        <v>1</v>
      </c>
      <c r="J43" s="6">
        <f t="shared" si="16"/>
        <v>1</v>
      </c>
      <c r="K43" s="6">
        <f t="shared" si="16"/>
        <v>1</v>
      </c>
      <c r="L43" s="6">
        <f t="shared" si="16"/>
        <v>1</v>
      </c>
      <c r="M43" s="6">
        <f t="shared" si="16"/>
        <v>1</v>
      </c>
    </row>
    <row r="46" spans="1:13" x14ac:dyDescent="0.35">
      <c r="A46" t="s">
        <v>56</v>
      </c>
      <c r="B46" s="10" t="s">
        <v>81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3" x14ac:dyDescent="0.35">
      <c r="B47" t="s">
        <v>23</v>
      </c>
      <c r="C47" s="11">
        <f>IFERROR('Data Sheet'!B57,0)</f>
        <v>480.29</v>
      </c>
      <c r="D47" s="11">
        <f>IFERROR('Data Sheet'!C57,0)</f>
        <v>480.29</v>
      </c>
      <c r="E47" s="11">
        <f>IFERROR('Data Sheet'!D57,0)</f>
        <v>480.29</v>
      </c>
      <c r="F47" s="11">
        <f>IFERROR('Data Sheet'!E57,0)</f>
        <v>608.79999999999995</v>
      </c>
      <c r="G47" s="11">
        <f>IFERROR('Data Sheet'!F57,0)</f>
        <v>1129.3699999999999</v>
      </c>
      <c r="H47" s="11">
        <f>IFERROR('Data Sheet'!G57,0)</f>
        <v>1245.44</v>
      </c>
      <c r="I47" s="11">
        <f>IFERROR('Data Sheet'!H57,0)</f>
        <v>1245.44</v>
      </c>
      <c r="J47" s="11">
        <f>IFERROR('Data Sheet'!I57,0)</f>
        <v>1346.96</v>
      </c>
      <c r="K47" s="11">
        <f>IFERROR('Data Sheet'!J57,0)</f>
        <v>1346.96</v>
      </c>
      <c r="L47" s="11">
        <f>IFERROR('Data Sheet'!K57,0)</f>
        <v>1346.96</v>
      </c>
    </row>
    <row r="48" spans="1:13" x14ac:dyDescent="0.35">
      <c r="B48" t="s">
        <v>22</v>
      </c>
      <c r="C48" s="11">
        <f>IFERROR('Data Sheet'!B58,0)</f>
        <v>16953.55</v>
      </c>
      <c r="D48" s="11">
        <f>IFERROR('Data Sheet'!C58,0)</f>
        <v>18235.150000000001</v>
      </c>
      <c r="E48" s="11">
        <f>IFERROR('Data Sheet'!D58,0)</f>
        <v>19235.169999999998</v>
      </c>
      <c r="F48" s="11">
        <f>IFERROR('Data Sheet'!E58,0)</f>
        <v>22158.78</v>
      </c>
      <c r="G48" s="11">
        <f>IFERROR('Data Sheet'!F58,0)</f>
        <v>38328.699999999997</v>
      </c>
      <c r="H48" s="11">
        <f>IFERROR('Data Sheet'!G58,0)</f>
        <v>43706.49</v>
      </c>
      <c r="I48" s="11">
        <f>IFERROR('Data Sheet'!H58,0)</f>
        <v>48261.38</v>
      </c>
      <c r="J48" s="11">
        <f>IFERROR('Data Sheet'!I58,0)</f>
        <v>58901.24</v>
      </c>
      <c r="K48" s="11">
        <f>IFERROR('Data Sheet'!J58,0)</f>
        <v>70165.95</v>
      </c>
      <c r="L48" s="11">
        <f>IFERROR('Data Sheet'!K58,0)</f>
        <v>78695.92</v>
      </c>
    </row>
    <row r="49" spans="2:12" x14ac:dyDescent="0.35">
      <c r="B49" t="s">
        <v>21</v>
      </c>
      <c r="C49" s="11">
        <f>IFERROR('Data Sheet'!B59,0)</f>
        <v>195116.93</v>
      </c>
      <c r="D49" s="11">
        <f>IFERROR('Data Sheet'!C59,0)</f>
        <v>228021.98</v>
      </c>
      <c r="E49" s="11">
        <f>IFERROR('Data Sheet'!D59,0)</f>
        <v>254178.34</v>
      </c>
      <c r="F49" s="11">
        <f>IFERROR('Data Sheet'!E59,0)</f>
        <v>281014.71000000002</v>
      </c>
      <c r="G49" s="11">
        <f>IFERROR('Data Sheet'!F59,0)</f>
        <v>562792.56999999995</v>
      </c>
      <c r="H49" s="11">
        <f>IFERROR('Data Sheet'!G59,0)</f>
        <v>610788.4</v>
      </c>
      <c r="I49" s="11">
        <f>IFERROR('Data Sheet'!H59,0)</f>
        <v>643215.65</v>
      </c>
      <c r="J49" s="11">
        <f>IFERROR('Data Sheet'!I59,0)</f>
        <v>711095.95</v>
      </c>
      <c r="K49" s="11">
        <f>IFERROR('Data Sheet'!J59,0)</f>
        <v>778650.62</v>
      </c>
      <c r="L49" s="11">
        <f>IFERROR('Data Sheet'!K59,0)</f>
        <v>874460.58</v>
      </c>
    </row>
    <row r="50" spans="2:12" x14ac:dyDescent="0.35">
      <c r="B50" t="s">
        <v>20</v>
      </c>
      <c r="C50" s="11">
        <f>IFERROR('Data Sheet'!B60,0)</f>
        <v>5956.67</v>
      </c>
      <c r="D50" s="11">
        <f>IFERROR('Data Sheet'!C60,0)</f>
        <v>6243.99</v>
      </c>
      <c r="E50" s="11">
        <f>IFERROR('Data Sheet'!D60,0)</f>
        <v>6494.48</v>
      </c>
      <c r="F50" s="11">
        <f>IFERROR('Data Sheet'!E60,0)</f>
        <v>6358.67</v>
      </c>
      <c r="G50" s="11">
        <f>IFERROR('Data Sheet'!F60,0)</f>
        <v>23284.53</v>
      </c>
      <c r="H50" s="11">
        <f>IFERROR('Data Sheet'!G60,0)</f>
        <v>18356.099999999999</v>
      </c>
      <c r="I50" s="11">
        <f>IFERROR('Data Sheet'!H60,0)</f>
        <v>20611.53</v>
      </c>
      <c r="J50" s="11">
        <f>IFERROR('Data Sheet'!I60,0)</f>
        <v>24364.67</v>
      </c>
      <c r="K50" s="11">
        <f>IFERROR('Data Sheet'!J60,0)</f>
        <v>26875.07</v>
      </c>
      <c r="L50" s="11">
        <f>IFERROR('Data Sheet'!K60,0)</f>
        <v>37049.33</v>
      </c>
    </row>
    <row r="51" spans="2:12" x14ac:dyDescent="0.35">
      <c r="B51" s="13" t="s">
        <v>109</v>
      </c>
      <c r="C51" s="14">
        <f>SUM(C47:C50)</f>
        <v>218507.44</v>
      </c>
      <c r="D51" s="14">
        <f t="shared" ref="D51:L51" si="17">SUM(D47:D50)</f>
        <v>252981.41</v>
      </c>
      <c r="E51" s="14">
        <f t="shared" si="17"/>
        <v>280388.27999999997</v>
      </c>
      <c r="F51" s="14">
        <f t="shared" si="17"/>
        <v>310140.96000000002</v>
      </c>
      <c r="G51" s="14">
        <f t="shared" si="17"/>
        <v>625535.16999999993</v>
      </c>
      <c r="H51" s="14">
        <f t="shared" si="17"/>
        <v>674096.43</v>
      </c>
      <c r="I51" s="14">
        <f t="shared" si="17"/>
        <v>713334</v>
      </c>
      <c r="J51" s="14">
        <f t="shared" si="17"/>
        <v>795708.82</v>
      </c>
      <c r="K51" s="14">
        <f t="shared" si="17"/>
        <v>877038.6</v>
      </c>
      <c r="L51" s="14">
        <f t="shared" si="17"/>
        <v>991552.78999999992</v>
      </c>
    </row>
    <row r="52" spans="2:12" x14ac:dyDescent="0.35"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2:12" x14ac:dyDescent="0.35">
      <c r="B53" t="s">
        <v>110</v>
      </c>
      <c r="C53" s="11">
        <f>IFERROR('Data Sheet'!B62,0)</f>
        <v>3436.04</v>
      </c>
      <c r="D53" s="11">
        <f>IFERROR('Data Sheet'!C62,0)</f>
        <v>3421.47</v>
      </c>
      <c r="E53" s="11">
        <f>IFERROR('Data Sheet'!D62,0)</f>
        <v>3964.23</v>
      </c>
      <c r="F53" s="11">
        <f>IFERROR('Data Sheet'!E62,0)</f>
        <v>3898.3</v>
      </c>
      <c r="G53" s="11">
        <f>IFERROR('Data Sheet'!F62,0)</f>
        <v>7392.13</v>
      </c>
      <c r="H53" s="11">
        <f>IFERROR('Data Sheet'!G62,0)</f>
        <v>7693.78</v>
      </c>
      <c r="I53" s="11">
        <f>IFERROR('Data Sheet'!H62,0)</f>
        <v>7471.6</v>
      </c>
      <c r="J53" s="11">
        <f>IFERROR('Data Sheet'!I62,0)</f>
        <v>7537.62</v>
      </c>
      <c r="K53" s="11">
        <f>IFERROR('Data Sheet'!J62,0)</f>
        <v>8854.3799999999992</v>
      </c>
      <c r="L53" s="11">
        <f>IFERROR('Data Sheet'!K62,0)</f>
        <v>8674</v>
      </c>
    </row>
    <row r="54" spans="2:12" x14ac:dyDescent="0.35">
      <c r="B54" t="s">
        <v>18</v>
      </c>
      <c r="C54" s="11">
        <f>IFERROR('Data Sheet'!B63,0)</f>
        <v>10.64</v>
      </c>
      <c r="D54" s="11">
        <f>IFERROR('Data Sheet'!C63,0)</f>
        <v>0.61</v>
      </c>
      <c r="E54" s="11">
        <f>IFERROR('Data Sheet'!D63,0)</f>
        <v>0.76</v>
      </c>
      <c r="F54" s="11">
        <f>IFERROR('Data Sheet'!E63,0)</f>
        <v>0.78</v>
      </c>
      <c r="G54" s="11">
        <f>IFERROR('Data Sheet'!F63,0)</f>
        <v>0.43</v>
      </c>
      <c r="H54" s="11">
        <f>IFERROR('Data Sheet'!G63,0)</f>
        <v>5.13</v>
      </c>
      <c r="I54" s="11">
        <f>IFERROR('Data Sheet'!H63,0)</f>
        <v>9.07</v>
      </c>
      <c r="J54" s="11">
        <f>IFERROR('Data Sheet'!I63,0)</f>
        <v>2.2799999999999998</v>
      </c>
      <c r="K54" s="11">
        <f>IFERROR('Data Sheet'!J63,0)</f>
        <v>2.95</v>
      </c>
      <c r="L54" s="11">
        <f>IFERROR('Data Sheet'!K63,0)</f>
        <v>2.81</v>
      </c>
    </row>
    <row r="55" spans="2:12" x14ac:dyDescent="0.35">
      <c r="B55" t="s">
        <v>17</v>
      </c>
      <c r="C55" s="11">
        <f>IFERROR('Data Sheet'!B64,0)</f>
        <v>67781.19</v>
      </c>
      <c r="D55" s="11">
        <f>IFERROR('Data Sheet'!C64,0)</f>
        <v>71619.14</v>
      </c>
      <c r="E55" s="11">
        <f>IFERROR('Data Sheet'!D64,0)</f>
        <v>65271.55</v>
      </c>
      <c r="F55" s="11">
        <f>IFERROR('Data Sheet'!E64,0)</f>
        <v>81871.16</v>
      </c>
      <c r="G55" s="11">
        <f>IFERROR('Data Sheet'!F64,0)</f>
        <v>178292.44</v>
      </c>
      <c r="H55" s="11">
        <f>IFERROR('Data Sheet'!G64,0)</f>
        <v>176501.61</v>
      </c>
      <c r="I55" s="11">
        <f>IFERROR('Data Sheet'!H64,0)</f>
        <v>188366.28</v>
      </c>
      <c r="J55" s="11">
        <f>IFERROR('Data Sheet'!I64,0)</f>
        <v>215241.82</v>
      </c>
      <c r="K55" s="11">
        <f>IFERROR('Data Sheet'!J64,0)</f>
        <v>228420.86</v>
      </c>
      <c r="L55" s="11">
        <f>IFERROR('Data Sheet'!K64,0)</f>
        <v>247682.04</v>
      </c>
    </row>
    <row r="56" spans="2:12" x14ac:dyDescent="0.35">
      <c r="B56" t="s">
        <v>16</v>
      </c>
      <c r="C56" s="11">
        <f>IFERROR('Data Sheet'!B65-SUM('Data Sheet'!B67:B69),0)</f>
        <v>141690.87</v>
      </c>
      <c r="D56" s="11">
        <f>IFERROR('Data Sheet'!C65-SUM('Data Sheet'!C67:C69),0)</f>
        <v>167438.59</v>
      </c>
      <c r="E56" s="11">
        <f>IFERROR('Data Sheet'!D65-SUM('Data Sheet'!D67:D69),0)</f>
        <v>199449.87</v>
      </c>
      <c r="F56" s="11">
        <f>IFERROR('Data Sheet'!E65-SUM('Data Sheet'!E67:E69),0)</f>
        <v>218634.6</v>
      </c>
      <c r="G56" s="11">
        <f>IFERROR('Data Sheet'!F65-SUM('Data Sheet'!F67:F69),0)</f>
        <v>412304.99</v>
      </c>
      <c r="H56" s="11">
        <f>IFERROR('Data Sheet'!G65-SUM('Data Sheet'!G67:G69),0)</f>
        <v>431341.25</v>
      </c>
      <c r="I56" s="11">
        <f>IFERROR('Data Sheet'!H65-SUM('Data Sheet'!H67:H69),0)</f>
        <v>484794.32</v>
      </c>
      <c r="J56" s="11">
        <f>IFERROR('Data Sheet'!I65-SUM('Data Sheet'!I67:I69),0)</f>
        <v>540224.34</v>
      </c>
      <c r="K56" s="11">
        <f>IFERROR('Data Sheet'!J65-SUM('Data Sheet'!J67:J69),0)</f>
        <v>607812.76</v>
      </c>
      <c r="L56" s="11">
        <f>IFERROR('Data Sheet'!K65-SUM('Data Sheet'!K67:K69),0)</f>
        <v>701139.0199999999</v>
      </c>
    </row>
    <row r="57" spans="2:12" x14ac:dyDescent="0.35">
      <c r="B57" s="13" t="s">
        <v>111</v>
      </c>
      <c r="C57" s="14">
        <f>SUM(C53:C56)</f>
        <v>212918.74</v>
      </c>
      <c r="D57" s="14">
        <f t="shared" ref="D57:L57" si="18">SUM(D53:D56)</f>
        <v>242479.81</v>
      </c>
      <c r="E57" s="14">
        <f t="shared" si="18"/>
        <v>268686.41000000003</v>
      </c>
      <c r="F57" s="14">
        <f t="shared" si="18"/>
        <v>304404.84000000003</v>
      </c>
      <c r="G57" s="14">
        <f t="shared" si="18"/>
        <v>597989.99</v>
      </c>
      <c r="H57" s="14">
        <f t="shared" si="18"/>
        <v>615541.77</v>
      </c>
      <c r="I57" s="14">
        <f t="shared" si="18"/>
        <v>680641.27</v>
      </c>
      <c r="J57" s="14">
        <f t="shared" si="18"/>
        <v>763006.05999999994</v>
      </c>
      <c r="K57" s="14">
        <f t="shared" si="18"/>
        <v>845090.95</v>
      </c>
      <c r="L57" s="14">
        <f t="shared" si="18"/>
        <v>957497.86999999988</v>
      </c>
    </row>
    <row r="58" spans="2:12" x14ac:dyDescent="0.35"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2:12" x14ac:dyDescent="0.35">
      <c r="B59" t="s">
        <v>14</v>
      </c>
      <c r="C59" s="11">
        <f>IFERROR('Data Sheet'!B67,0)</f>
        <v>0</v>
      </c>
      <c r="D59" s="11">
        <f>IFERROR('Data Sheet'!C67,0)</f>
        <v>0</v>
      </c>
      <c r="E59" s="11">
        <f>IFERROR('Data Sheet'!D67,0)</f>
        <v>0</v>
      </c>
      <c r="F59" s="11">
        <f>IFERROR('Data Sheet'!E67,0)</f>
        <v>0</v>
      </c>
      <c r="G59" s="11">
        <f>IFERROR('Data Sheet'!F67,0)</f>
        <v>0</v>
      </c>
      <c r="H59" s="11">
        <f>IFERROR('Data Sheet'!G67,0)</f>
        <v>0</v>
      </c>
      <c r="I59" s="11">
        <f>IFERROR('Data Sheet'!H67,0)</f>
        <v>0</v>
      </c>
      <c r="J59" s="11">
        <f>IFERROR('Data Sheet'!I67,0)</f>
        <v>0</v>
      </c>
      <c r="K59" s="11">
        <f>IFERROR('Data Sheet'!J67,0)</f>
        <v>0</v>
      </c>
      <c r="L59" s="11">
        <f>IFERROR('Data Sheet'!K67,0)</f>
        <v>0</v>
      </c>
    </row>
    <row r="60" spans="2:12" x14ac:dyDescent="0.35">
      <c r="B60" t="s">
        <v>13</v>
      </c>
      <c r="C60" s="11">
        <f>IFERROR('Data Sheet'!B68,0)</f>
        <v>0</v>
      </c>
      <c r="D60" s="11">
        <f>IFERROR('Data Sheet'!C68,0)</f>
        <v>0</v>
      </c>
      <c r="E60" s="11">
        <f>IFERROR('Data Sheet'!D68,0)</f>
        <v>0</v>
      </c>
      <c r="F60" s="11">
        <f>IFERROR('Data Sheet'!E68,0)</f>
        <v>0</v>
      </c>
      <c r="G60" s="11">
        <f>IFERROR('Data Sheet'!F68,0)</f>
        <v>0</v>
      </c>
      <c r="H60" s="11">
        <f>IFERROR('Data Sheet'!G68,0)</f>
        <v>0</v>
      </c>
      <c r="I60" s="11">
        <f>IFERROR('Data Sheet'!H68,0)</f>
        <v>0</v>
      </c>
      <c r="J60" s="11">
        <f>IFERROR('Data Sheet'!I68,0)</f>
        <v>0</v>
      </c>
      <c r="K60" s="11">
        <f>IFERROR('Data Sheet'!J68,0)</f>
        <v>0</v>
      </c>
      <c r="L60" s="11">
        <f>IFERROR('Data Sheet'!K68,0)</f>
        <v>0</v>
      </c>
    </row>
    <row r="61" spans="2:12" x14ac:dyDescent="0.35">
      <c r="B61" t="s">
        <v>12</v>
      </c>
      <c r="C61" s="11">
        <f>IFERROR('Data Sheet'!B69,0)</f>
        <v>5588.7</v>
      </c>
      <c r="D61" s="11">
        <f>IFERROR('Data Sheet'!C69,0)</f>
        <v>10501.6</v>
      </c>
      <c r="E61" s="11">
        <f>IFERROR('Data Sheet'!D69,0)</f>
        <v>11701.87</v>
      </c>
      <c r="F61" s="11">
        <f>IFERROR('Data Sheet'!E69,0)</f>
        <v>5736.12</v>
      </c>
      <c r="G61" s="11">
        <f>IFERROR('Data Sheet'!F69,0)</f>
        <v>27545.18</v>
      </c>
      <c r="H61" s="11">
        <f>IFERROR('Data Sheet'!G69,0)</f>
        <v>58554.66</v>
      </c>
      <c r="I61" s="11">
        <f>IFERROR('Data Sheet'!H69,0)</f>
        <v>32692.73</v>
      </c>
      <c r="J61" s="11">
        <f>IFERROR('Data Sheet'!I69,0)</f>
        <v>32702.76</v>
      </c>
      <c r="K61" s="11">
        <f>IFERROR('Data Sheet'!J69,0)</f>
        <v>31947.65</v>
      </c>
      <c r="L61" s="11">
        <f>IFERROR('Data Sheet'!K69,0)</f>
        <v>34054.92</v>
      </c>
    </row>
    <row r="62" spans="2:12" x14ac:dyDescent="0.35">
      <c r="B62" s="13" t="s">
        <v>112</v>
      </c>
      <c r="C62" s="14">
        <f>SUM(C59:C61)</f>
        <v>5588.7</v>
      </c>
      <c r="D62" s="14">
        <f t="shared" ref="D62:L62" si="19">SUM(D59:D61)</f>
        <v>10501.6</v>
      </c>
      <c r="E62" s="14">
        <f t="shared" si="19"/>
        <v>11701.87</v>
      </c>
      <c r="F62" s="14">
        <f t="shared" si="19"/>
        <v>5736.12</v>
      </c>
      <c r="G62" s="14">
        <f t="shared" si="19"/>
        <v>27545.18</v>
      </c>
      <c r="H62" s="14">
        <f t="shared" si="19"/>
        <v>58554.66</v>
      </c>
      <c r="I62" s="14">
        <f t="shared" si="19"/>
        <v>32692.73</v>
      </c>
      <c r="J62" s="14">
        <f t="shared" si="19"/>
        <v>32702.76</v>
      </c>
      <c r="K62" s="14">
        <f t="shared" si="19"/>
        <v>31947.65</v>
      </c>
      <c r="L62" s="14">
        <f t="shared" si="19"/>
        <v>34054.92</v>
      </c>
    </row>
    <row r="63" spans="2:12" x14ac:dyDescent="0.35"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2:12" x14ac:dyDescent="0.35">
      <c r="B64" s="13" t="s">
        <v>113</v>
      </c>
      <c r="C64" s="14">
        <f>SUM(C62,C57)</f>
        <v>218507.44</v>
      </c>
      <c r="D64" s="14">
        <f t="shared" ref="D64:L64" si="20">SUM(D62,D57)</f>
        <v>252981.41</v>
      </c>
      <c r="E64" s="14">
        <f t="shared" si="20"/>
        <v>280388.28000000003</v>
      </c>
      <c r="F64" s="14">
        <f t="shared" si="20"/>
        <v>310140.96000000002</v>
      </c>
      <c r="G64" s="14">
        <f t="shared" si="20"/>
        <v>625535.17000000004</v>
      </c>
      <c r="H64" s="14">
        <f t="shared" si="20"/>
        <v>674096.43</v>
      </c>
      <c r="I64" s="14">
        <f t="shared" si="20"/>
        <v>713334</v>
      </c>
      <c r="J64" s="14">
        <f t="shared" si="20"/>
        <v>795708.82</v>
      </c>
      <c r="K64" s="14">
        <f t="shared" si="20"/>
        <v>877038.6</v>
      </c>
      <c r="L64" s="14">
        <f t="shared" si="20"/>
        <v>991552.78999999992</v>
      </c>
    </row>
    <row r="66" spans="1:12" x14ac:dyDescent="0.35">
      <c r="B66" s="4" t="s">
        <v>114</v>
      </c>
      <c r="C66" s="4" t="b">
        <f>C64=C51</f>
        <v>1</v>
      </c>
      <c r="D66" s="4" t="b">
        <f t="shared" ref="D66:L66" si="21">D64=D51</f>
        <v>1</v>
      </c>
      <c r="E66" s="4" t="b">
        <f t="shared" si="21"/>
        <v>1</v>
      </c>
      <c r="F66" s="4" t="b">
        <f t="shared" si="21"/>
        <v>1</v>
      </c>
      <c r="G66" s="4" t="b">
        <f t="shared" si="21"/>
        <v>1</v>
      </c>
      <c r="H66" s="4" t="b">
        <f t="shared" si="21"/>
        <v>1</v>
      </c>
      <c r="I66" s="4" t="b">
        <f t="shared" si="21"/>
        <v>1</v>
      </c>
      <c r="J66" s="4" t="b">
        <f t="shared" si="21"/>
        <v>1</v>
      </c>
      <c r="K66" s="4" t="b">
        <f t="shared" si="21"/>
        <v>1</v>
      </c>
      <c r="L66" s="4" t="b">
        <f t="shared" si="21"/>
        <v>1</v>
      </c>
    </row>
    <row r="69" spans="1:12" x14ac:dyDescent="0.35">
      <c r="A69" t="s">
        <v>56</v>
      </c>
      <c r="B69" s="10" t="s">
        <v>115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35">
      <c r="B70" s="4" t="s">
        <v>116</v>
      </c>
    </row>
    <row r="71" spans="1:12" x14ac:dyDescent="0.35">
      <c r="B71" t="s">
        <v>82</v>
      </c>
      <c r="C71" s="11">
        <f>IFERROR('Cash Flow statement'!C4,0)</f>
        <v>38626</v>
      </c>
      <c r="D71" s="11">
        <f>IFERROR('Cash Flow statement'!D4,0)</f>
        <v>28840</v>
      </c>
      <c r="E71" s="11">
        <f>IFERROR('Cash Flow statement'!E4,0)</f>
        <v>33312</v>
      </c>
      <c r="F71" s="11">
        <f>IFERROR('Cash Flow statement'!F4,0)</f>
        <v>28771</v>
      </c>
      <c r="G71" s="11">
        <f>IFERROR('Cash Flow statement'!G4,0)</f>
        <v>23352</v>
      </c>
      <c r="H71" s="11">
        <f>IFERROR('Cash Flow statement'!H4,0)</f>
        <v>31198</v>
      </c>
      <c r="I71" s="11">
        <f>IFERROR('Cash Flow statement'!I4,0)</f>
        <v>26943</v>
      </c>
      <c r="J71" s="11">
        <f>IFERROR('Cash Flow statement'!J4,0)</f>
        <v>41694</v>
      </c>
      <c r="K71" s="11">
        <f>IFERROR('Cash Flow statement'!K4,0)</f>
        <v>65106</v>
      </c>
      <c r="L71" s="11">
        <f>IFERROR('Cash Flow statement'!L4,0)</f>
        <v>58937</v>
      </c>
    </row>
    <row r="72" spans="1:12" x14ac:dyDescent="0.35">
      <c r="B72" t="s">
        <v>14</v>
      </c>
      <c r="C72" s="11">
        <f>IFERROR('Cash Flow statement'!C5,0)</f>
        <v>-2223</v>
      </c>
      <c r="D72" s="11">
        <f>IFERROR('Cash Flow statement'!D5,0)</f>
        <v>-4152</v>
      </c>
      <c r="E72" s="11">
        <f>IFERROR('Cash Flow statement'!E5,0)</f>
        <v>-10688</v>
      </c>
      <c r="F72" s="11">
        <f>IFERROR('Cash Flow statement'!F5,0)</f>
        <v>-9109</v>
      </c>
      <c r="G72" s="11">
        <f>IFERROR('Cash Flow statement'!G5,0)</f>
        <v>9950</v>
      </c>
      <c r="H72" s="11">
        <f>IFERROR('Cash Flow statement'!H5,0)</f>
        <v>-5505</v>
      </c>
      <c r="I72" s="11">
        <f>IFERROR('Cash Flow statement'!I5,0)</f>
        <v>185</v>
      </c>
      <c r="J72" s="11">
        <f>IFERROR('Cash Flow statement'!J5,0)</f>
        <v>-2213</v>
      </c>
      <c r="K72" s="11">
        <f>IFERROR('Cash Flow statement'!K5,0)</f>
        <v>-1876</v>
      </c>
      <c r="L72" s="11">
        <f>IFERROR('Cash Flow statement'!L5,0)</f>
        <v>3573</v>
      </c>
    </row>
    <row r="73" spans="1:12" x14ac:dyDescent="0.35">
      <c r="B73" t="s">
        <v>13</v>
      </c>
      <c r="C73" s="11">
        <f>IFERROR('Cash Flow statement'!C6,0)</f>
        <v>-5743</v>
      </c>
      <c r="D73" s="11">
        <f>IFERROR('Cash Flow statement'!D6,0)</f>
        <v>-6621</v>
      </c>
      <c r="E73" s="11">
        <f>IFERROR('Cash Flow statement'!E6,0)</f>
        <v>-3560</v>
      </c>
      <c r="F73" s="11">
        <f>IFERROR('Cash Flow statement'!F6,0)</f>
        <v>2069</v>
      </c>
      <c r="G73" s="11">
        <f>IFERROR('Cash Flow statement'!G6,0)</f>
        <v>2326</v>
      </c>
      <c r="H73" s="11">
        <f>IFERROR('Cash Flow statement'!H6,0)</f>
        <v>3814</v>
      </c>
      <c r="I73" s="11">
        <f>IFERROR('Cash Flow statement'!I6,0)</f>
        <v>472</v>
      </c>
      <c r="J73" s="11">
        <f>IFERROR('Cash Flow statement'!J6,0)</f>
        <v>-5665</v>
      </c>
      <c r="K73" s="11">
        <f>IFERROR('Cash Flow statement'!K6,0)</f>
        <v>-7265</v>
      </c>
      <c r="L73" s="11">
        <f>IFERROR('Cash Flow statement'!L6,0)</f>
        <v>2127</v>
      </c>
    </row>
    <row r="74" spans="1:12" x14ac:dyDescent="0.35">
      <c r="B74" t="s">
        <v>83</v>
      </c>
      <c r="C74" s="11">
        <f>IFERROR('Cash Flow statement'!C7,0)</f>
        <v>3947</v>
      </c>
      <c r="D74" s="11">
        <f>IFERROR('Cash Flow statement'!D7,0)</f>
        <v>9301</v>
      </c>
      <c r="E74" s="11">
        <f>IFERROR('Cash Flow statement'!E7,0)</f>
        <v>7320</v>
      </c>
      <c r="F74" s="11">
        <f>IFERROR('Cash Flow statement'!F7,0)</f>
        <v>-4692</v>
      </c>
      <c r="G74" s="11">
        <f>IFERROR('Cash Flow statement'!G7,0)</f>
        <v>-8085</v>
      </c>
      <c r="H74" s="11">
        <f>IFERROR('Cash Flow statement'!H7,0)</f>
        <v>5748</v>
      </c>
      <c r="I74" s="11">
        <f>IFERROR('Cash Flow statement'!I7,0)</f>
        <v>-7012</v>
      </c>
      <c r="J74" s="11">
        <f>IFERROR('Cash Flow statement'!J7,0)</f>
        <v>6945</v>
      </c>
      <c r="K74" s="11">
        <f>IFERROR('Cash Flow statement'!K7,0)</f>
        <v>13706</v>
      </c>
      <c r="L74" s="11">
        <f>IFERROR('Cash Flow statement'!L7,0)</f>
        <v>1303</v>
      </c>
    </row>
    <row r="75" spans="1:12" x14ac:dyDescent="0.35">
      <c r="B75" t="s">
        <v>84</v>
      </c>
      <c r="C75" s="11">
        <f>IFERROR('Cash Flow statement'!C8,0)</f>
        <v>-520</v>
      </c>
      <c r="D75" s="11">
        <f>IFERROR('Cash Flow statement'!D8,0)</f>
        <v>0</v>
      </c>
      <c r="E75" s="11">
        <f>IFERROR('Cash Flow statement'!E8,0)</f>
        <v>0</v>
      </c>
      <c r="F75" s="11">
        <f>IFERROR('Cash Flow statement'!F8,0)</f>
        <v>0</v>
      </c>
      <c r="G75" s="11">
        <f>IFERROR('Cash Flow statement'!G8,0)</f>
        <v>0</v>
      </c>
      <c r="H75" s="11">
        <f>IFERROR('Cash Flow statement'!H8,0)</f>
        <v>0</v>
      </c>
      <c r="I75" s="11">
        <f>IFERROR('Cash Flow statement'!I8,0)</f>
        <v>0</v>
      </c>
      <c r="J75" s="11">
        <f>IFERROR('Cash Flow statement'!J8,0)</f>
        <v>0</v>
      </c>
      <c r="K75" s="11">
        <f>IFERROR('Cash Flow statement'!K8,0)</f>
        <v>0</v>
      </c>
      <c r="L75" s="11">
        <f>IFERROR('Cash Flow statement'!L8,0)</f>
        <v>0</v>
      </c>
    </row>
    <row r="76" spans="1:12" x14ac:dyDescent="0.35">
      <c r="B76" t="s">
        <v>85</v>
      </c>
      <c r="C76" s="11">
        <f>IFERROR('Cash Flow statement'!C9,0)</f>
        <v>5852</v>
      </c>
      <c r="D76" s="11">
        <f>IFERROR('Cash Flow statement'!D9,0)</f>
        <v>4727</v>
      </c>
      <c r="E76" s="11">
        <f>IFERROR('Cash Flow statement'!E9,0)</f>
        <v>494</v>
      </c>
      <c r="F76" s="11">
        <f>IFERROR('Cash Flow statement'!F9,0)</f>
        <v>4512</v>
      </c>
      <c r="G76" s="11">
        <f>IFERROR('Cash Flow statement'!G9,0)</f>
        <v>875</v>
      </c>
      <c r="H76" s="11">
        <f>IFERROR('Cash Flow statement'!H9,0)</f>
        <v>-4150</v>
      </c>
      <c r="I76" s="11">
        <f>IFERROR('Cash Flow statement'!I9,0)</f>
        <v>-4396</v>
      </c>
      <c r="J76" s="11">
        <f>IFERROR('Cash Flow statement'!J9,0)</f>
        <v>-2194</v>
      </c>
      <c r="K76" s="11">
        <f>IFERROR('Cash Flow statement'!K9,0)</f>
        <v>2760</v>
      </c>
      <c r="L76" s="11">
        <f>IFERROR('Cash Flow statement'!L9,0)</f>
        <v>1153</v>
      </c>
    </row>
    <row r="77" spans="1:12" x14ac:dyDescent="0.35">
      <c r="B77" t="s">
        <v>86</v>
      </c>
      <c r="C77" s="11">
        <f>IFERROR('Cash Flow statement'!C10,0)</f>
        <v>-2040</v>
      </c>
      <c r="D77" s="11">
        <f>IFERROR('Cash Flow statement'!D10,0)</f>
        <v>-1895</v>
      </c>
      <c r="E77" s="11">
        <f>IFERROR('Cash Flow statement'!E10,0)</f>
        <v>-3021</v>
      </c>
      <c r="F77" s="11">
        <f>IFERROR('Cash Flow statement'!F10,0)</f>
        <v>-2659</v>
      </c>
      <c r="G77" s="11">
        <f>IFERROR('Cash Flow statement'!G10,0)</f>
        <v>-1785</v>
      </c>
      <c r="H77" s="11">
        <f>IFERROR('Cash Flow statement'!H10,0)</f>
        <v>-2105</v>
      </c>
      <c r="I77" s="11">
        <f>IFERROR('Cash Flow statement'!I10,0)</f>
        <v>-1910</v>
      </c>
      <c r="J77" s="11">
        <f>IFERROR('Cash Flow statement'!J10,0)</f>
        <v>-3179</v>
      </c>
      <c r="K77" s="11">
        <f>IFERROR('Cash Flow statement'!K10,0)</f>
        <v>-4516</v>
      </c>
      <c r="L77" s="11">
        <f>IFERROR('Cash Flow statement'!L10,0)</f>
        <v>-3991</v>
      </c>
    </row>
    <row r="78" spans="1:12" x14ac:dyDescent="0.35">
      <c r="B78" s="4" t="s">
        <v>117</v>
      </c>
      <c r="C78" s="12">
        <f t="shared" ref="C78:L78" si="22">IFERROR(SUM(C71:C77),0)</f>
        <v>37899</v>
      </c>
      <c r="D78" s="12">
        <f t="shared" si="22"/>
        <v>30200</v>
      </c>
      <c r="E78" s="12">
        <f t="shared" si="22"/>
        <v>23857</v>
      </c>
      <c r="F78" s="12">
        <f t="shared" si="22"/>
        <v>18892</v>
      </c>
      <c r="G78" s="12">
        <f t="shared" si="22"/>
        <v>26633</v>
      </c>
      <c r="H78" s="12">
        <f t="shared" si="22"/>
        <v>29000</v>
      </c>
      <c r="I78" s="12">
        <f t="shared" si="22"/>
        <v>14282</v>
      </c>
      <c r="J78" s="12">
        <f t="shared" si="22"/>
        <v>35388</v>
      </c>
      <c r="K78" s="12">
        <f t="shared" si="22"/>
        <v>67915</v>
      </c>
      <c r="L78" s="12">
        <f t="shared" si="22"/>
        <v>63102</v>
      </c>
    </row>
    <row r="81" spans="2:12" x14ac:dyDescent="0.35">
      <c r="B81" s="4" t="s">
        <v>118</v>
      </c>
    </row>
    <row r="82" spans="2:12" x14ac:dyDescent="0.35">
      <c r="B82" t="s">
        <v>87</v>
      </c>
      <c r="C82" s="11">
        <f>IFERROR('Cash Flow statement'!C12,0)</f>
        <v>-31503</v>
      </c>
      <c r="D82" s="11">
        <f>IFERROR('Cash Flow statement'!D12,0)</f>
        <v>-16072</v>
      </c>
      <c r="E82" s="11">
        <f>IFERROR('Cash Flow statement'!E12,0)</f>
        <v>-35079</v>
      </c>
      <c r="F82" s="11">
        <f>IFERROR('Cash Flow statement'!F12,0)</f>
        <v>-35304</v>
      </c>
      <c r="G82" s="11">
        <f>IFERROR('Cash Flow statement'!G12,0)</f>
        <v>-29702</v>
      </c>
      <c r="H82" s="11">
        <f>IFERROR('Cash Flow statement'!H12,0)</f>
        <v>-20205</v>
      </c>
      <c r="I82" s="11">
        <f>IFERROR('Cash Flow statement'!I12,0)</f>
        <v>-15168</v>
      </c>
      <c r="J82" s="11">
        <f>IFERROR('Cash Flow statement'!J12,0)</f>
        <v>-19230</v>
      </c>
      <c r="K82" s="11">
        <f>IFERROR('Cash Flow statement'!K12,0)</f>
        <v>-31414</v>
      </c>
      <c r="L82" s="11">
        <f>IFERROR('Cash Flow statement'!L12,0)</f>
        <v>-38042</v>
      </c>
    </row>
    <row r="83" spans="2:12" x14ac:dyDescent="0.35">
      <c r="B83" t="s">
        <v>88</v>
      </c>
      <c r="C83" s="11">
        <f>IFERROR('Cash Flow statement'!C13,0)</f>
        <v>59</v>
      </c>
      <c r="D83" s="11">
        <f>IFERROR('Cash Flow statement'!D13,0)</f>
        <v>53</v>
      </c>
      <c r="E83" s="11">
        <f>IFERROR('Cash Flow statement'!E13,0)</f>
        <v>30</v>
      </c>
      <c r="F83" s="11">
        <f>IFERROR('Cash Flow statement'!F13,0)</f>
        <v>67</v>
      </c>
      <c r="G83" s="11">
        <f>IFERROR('Cash Flow statement'!G13,0)</f>
        <v>171</v>
      </c>
      <c r="H83" s="11">
        <f>IFERROR('Cash Flow statement'!H13,0)</f>
        <v>351</v>
      </c>
      <c r="I83" s="11">
        <f>IFERROR('Cash Flow statement'!I13,0)</f>
        <v>230</v>
      </c>
      <c r="J83" s="11">
        <f>IFERROR('Cash Flow statement'!J13,0)</f>
        <v>285</v>
      </c>
      <c r="K83" s="11">
        <f>IFERROR('Cash Flow statement'!K13,0)</f>
        <v>231</v>
      </c>
      <c r="L83" s="11">
        <f>IFERROR('Cash Flow statement'!L13,0)</f>
        <v>974</v>
      </c>
    </row>
    <row r="84" spans="2:12" x14ac:dyDescent="0.35">
      <c r="B84" t="s">
        <v>89</v>
      </c>
      <c r="C84" s="11">
        <f>IFERROR('Cash Flow statement'!C14,0)</f>
        <v>-4728</v>
      </c>
      <c r="D84" s="11">
        <f>IFERROR('Cash Flow statement'!D14,0)</f>
        <v>-6</v>
      </c>
      <c r="E84" s="11">
        <f>IFERROR('Cash Flow statement'!E14,0)</f>
        <v>-329</v>
      </c>
      <c r="F84" s="11">
        <f>IFERROR('Cash Flow statement'!F14,0)</f>
        <v>-130</v>
      </c>
      <c r="G84" s="11">
        <f>IFERROR('Cash Flow statement'!G14,0)</f>
        <v>-1439</v>
      </c>
      <c r="H84" s="11">
        <f>IFERROR('Cash Flow statement'!H14,0)</f>
        <v>-7530</v>
      </c>
      <c r="I84" s="11">
        <f>IFERROR('Cash Flow statement'!I14,0)</f>
        <v>-3008</v>
      </c>
      <c r="J84" s="11">
        <f>IFERROR('Cash Flow statement'!J14,0)</f>
        <v>-50</v>
      </c>
      <c r="K84" s="11">
        <f>IFERROR('Cash Flow statement'!K14,0)</f>
        <v>-74</v>
      </c>
      <c r="L84" s="11">
        <f>IFERROR('Cash Flow statement'!L14,0)</f>
        <v>-12677</v>
      </c>
    </row>
    <row r="85" spans="2:12" x14ac:dyDescent="0.35">
      <c r="B85" t="s">
        <v>90</v>
      </c>
      <c r="C85" s="11">
        <f>IFERROR('Cash Flow statement'!C15,0)</f>
        <v>89</v>
      </c>
      <c r="D85" s="11">
        <f>IFERROR('Cash Flow statement'!D15,0)</f>
        <v>1965</v>
      </c>
      <c r="E85" s="11">
        <f>IFERROR('Cash Flow statement'!E15,0)</f>
        <v>2381</v>
      </c>
      <c r="F85" s="11">
        <f>IFERROR('Cash Flow statement'!F15,0)</f>
        <v>5644</v>
      </c>
      <c r="G85" s="11">
        <f>IFERROR('Cash Flow statement'!G15,0)</f>
        <v>21</v>
      </c>
      <c r="H85" s="11">
        <f>IFERROR('Cash Flow statement'!H15,0)</f>
        <v>226</v>
      </c>
      <c r="I85" s="11">
        <f>IFERROR('Cash Flow statement'!I15,0)</f>
        <v>104</v>
      </c>
      <c r="J85" s="11">
        <f>IFERROR('Cash Flow statement'!J15,0)</f>
        <v>6895</v>
      </c>
      <c r="K85" s="11">
        <f>IFERROR('Cash Flow statement'!K15,0)</f>
        <v>10821</v>
      </c>
      <c r="L85" s="11">
        <f>IFERROR('Cash Flow statement'!L15,0)</f>
        <v>111</v>
      </c>
    </row>
    <row r="86" spans="2:12" x14ac:dyDescent="0.35">
      <c r="B86" t="s">
        <v>91</v>
      </c>
      <c r="C86" s="11">
        <f>IFERROR('Cash Flow statement'!C16,0)</f>
        <v>731</v>
      </c>
      <c r="D86" s="11">
        <f>IFERROR('Cash Flow statement'!D16,0)</f>
        <v>638</v>
      </c>
      <c r="E86" s="11">
        <f>IFERROR('Cash Flow statement'!E16,0)</f>
        <v>690</v>
      </c>
      <c r="F86" s="11">
        <f>IFERROR('Cash Flow statement'!F16,0)</f>
        <v>761</v>
      </c>
      <c r="G86" s="11">
        <f>IFERROR('Cash Flow statement'!G16,0)</f>
        <v>1104</v>
      </c>
      <c r="H86" s="11">
        <f>IFERROR('Cash Flow statement'!H16,0)</f>
        <v>428</v>
      </c>
      <c r="I86" s="11">
        <f>IFERROR('Cash Flow statement'!I16,0)</f>
        <v>653</v>
      </c>
      <c r="J86" s="11">
        <f>IFERROR('Cash Flow statement'!J16,0)</f>
        <v>973</v>
      </c>
      <c r="K86" s="11">
        <f>IFERROR('Cash Flow statement'!K16,0)</f>
        <v>2493</v>
      </c>
      <c r="L86" s="11">
        <f>IFERROR('Cash Flow statement'!L16,0)</f>
        <v>2420</v>
      </c>
    </row>
    <row r="87" spans="2:12" x14ac:dyDescent="0.35">
      <c r="B87" t="s">
        <v>92</v>
      </c>
      <c r="C87" s="11">
        <f>IFERROR('Cash Flow statement'!C17,0)</f>
        <v>58</v>
      </c>
      <c r="D87" s="11">
        <f>IFERROR('Cash Flow statement'!D17,0)</f>
        <v>620</v>
      </c>
      <c r="E87" s="11">
        <f>IFERROR('Cash Flow statement'!E17,0)</f>
        <v>1797</v>
      </c>
      <c r="F87" s="11">
        <f>IFERROR('Cash Flow statement'!F17,0)</f>
        <v>232</v>
      </c>
      <c r="G87" s="11">
        <f>IFERROR('Cash Flow statement'!G17,0)</f>
        <v>21</v>
      </c>
      <c r="H87" s="11">
        <f>IFERROR('Cash Flow statement'!H17,0)</f>
        <v>18</v>
      </c>
      <c r="I87" s="11">
        <f>IFERROR('Cash Flow statement'!I17,0)</f>
        <v>32</v>
      </c>
      <c r="J87" s="11">
        <f>IFERROR('Cash Flow statement'!J17,0)</f>
        <v>46</v>
      </c>
      <c r="K87" s="11">
        <f>IFERROR('Cash Flow statement'!K17,0)</f>
        <v>47</v>
      </c>
      <c r="L87" s="11">
        <f>IFERROR('Cash Flow statement'!L17,0)</f>
        <v>64</v>
      </c>
    </row>
    <row r="88" spans="2:12" x14ac:dyDescent="0.35">
      <c r="B88" t="s">
        <v>93</v>
      </c>
      <c r="C88" s="11">
        <f>IFERROR('Cash Flow statement'!C18,0)</f>
        <v>0</v>
      </c>
      <c r="D88" s="11">
        <f>IFERROR('Cash Flow statement'!D18,0)</f>
        <v>-107</v>
      </c>
      <c r="E88" s="11">
        <f>IFERROR('Cash Flow statement'!E18,0)</f>
        <v>-4</v>
      </c>
      <c r="F88" s="11">
        <f>IFERROR('Cash Flow statement'!F18,0)</f>
        <v>-9</v>
      </c>
      <c r="G88" s="11">
        <f>IFERROR('Cash Flow statement'!G18,0)</f>
        <v>-606</v>
      </c>
      <c r="H88" s="11">
        <f>IFERROR('Cash Flow statement'!H18,0)</f>
        <v>-10</v>
      </c>
      <c r="I88" s="11">
        <f>IFERROR('Cash Flow statement'!I18,0)</f>
        <v>0</v>
      </c>
      <c r="J88" s="11">
        <f>IFERROR('Cash Flow statement'!J18,0)</f>
        <v>0</v>
      </c>
      <c r="K88" s="11">
        <f>IFERROR('Cash Flow statement'!K18,0)</f>
        <v>-150</v>
      </c>
      <c r="L88" s="11">
        <f>IFERROR('Cash Flow statement'!L18,0)</f>
        <v>0</v>
      </c>
    </row>
    <row r="89" spans="2:12" x14ac:dyDescent="0.35">
      <c r="B89" t="s">
        <v>94</v>
      </c>
      <c r="C89" s="11">
        <f>IFERROR('Cash Flow statement'!C19,0)</f>
        <v>0</v>
      </c>
      <c r="D89" s="11">
        <f>IFERROR('Cash Flow statement'!D19,0)</f>
        <v>0</v>
      </c>
      <c r="E89" s="11">
        <f>IFERROR('Cash Flow statement'!E19,0)</f>
        <v>14</v>
      </c>
      <c r="F89" s="11">
        <f>IFERROR('Cash Flow statement'!F19,0)</f>
        <v>533</v>
      </c>
      <c r="G89" s="11">
        <f>IFERROR('Cash Flow statement'!G19,0)</f>
        <v>0</v>
      </c>
      <c r="H89" s="11">
        <f>IFERROR('Cash Flow statement'!H19,0)</f>
        <v>0</v>
      </c>
      <c r="I89" s="11">
        <f>IFERROR('Cash Flow statement'!I19,0)</f>
        <v>0</v>
      </c>
      <c r="J89" s="11">
        <f>IFERROR('Cash Flow statement'!J19,0)</f>
        <v>19</v>
      </c>
      <c r="K89" s="11">
        <f>IFERROR('Cash Flow statement'!K19,0)</f>
        <v>107</v>
      </c>
      <c r="L89" s="11">
        <f>IFERROR('Cash Flow statement'!L19,0)</f>
        <v>765</v>
      </c>
    </row>
    <row r="90" spans="2:12" x14ac:dyDescent="0.35">
      <c r="B90" t="s">
        <v>95</v>
      </c>
      <c r="C90" s="11">
        <f>IFERROR('Cash Flow statement'!C20,0)</f>
        <v>-111</v>
      </c>
      <c r="D90" s="11">
        <f>IFERROR('Cash Flow statement'!D20,0)</f>
        <v>0</v>
      </c>
      <c r="E90" s="11">
        <f>IFERROR('Cash Flow statement'!E20,0)</f>
        <v>0</v>
      </c>
      <c r="F90" s="11">
        <f>IFERROR('Cash Flow statement'!F20,0)</f>
        <v>-8</v>
      </c>
      <c r="G90" s="11">
        <f>IFERROR('Cash Flow statement'!G20,0)</f>
        <v>-27</v>
      </c>
      <c r="H90" s="11">
        <f>IFERROR('Cash Flow statement'!H20,0)</f>
        <v>0</v>
      </c>
      <c r="I90" s="11">
        <f>IFERROR('Cash Flow statement'!I20,0)</f>
        <v>-98</v>
      </c>
      <c r="J90" s="11">
        <f>IFERROR('Cash Flow statement'!J20,0)</f>
        <v>0</v>
      </c>
      <c r="K90" s="11">
        <f>IFERROR('Cash Flow statement'!K20,0)</f>
        <v>0</v>
      </c>
      <c r="L90" s="11">
        <f>IFERROR('Cash Flow statement'!L20,0)</f>
        <v>-688</v>
      </c>
    </row>
    <row r="91" spans="2:12" x14ac:dyDescent="0.35">
      <c r="B91" t="s">
        <v>96</v>
      </c>
      <c r="C91" s="11">
        <f>IFERROR('Cash Flow statement'!C21,0)</f>
        <v>0</v>
      </c>
      <c r="D91" s="11">
        <f>IFERROR('Cash Flow statement'!D21,0)</f>
        <v>0</v>
      </c>
      <c r="E91" s="11">
        <f>IFERROR('Cash Flow statement'!E21,0)</f>
        <v>0</v>
      </c>
      <c r="F91" s="11">
        <f>IFERROR('Cash Flow statement'!F21,0)</f>
        <v>0</v>
      </c>
      <c r="G91" s="11">
        <f>IFERROR('Cash Flow statement'!G21,0)</f>
        <v>0</v>
      </c>
      <c r="H91" s="11">
        <f>IFERROR('Cash Flow statement'!H21,0)</f>
        <v>0</v>
      </c>
      <c r="I91" s="11">
        <f>IFERROR('Cash Flow statement'!I21,0)</f>
        <v>0</v>
      </c>
      <c r="J91" s="11">
        <f>IFERROR('Cash Flow statement'!J21,0)</f>
        <v>0</v>
      </c>
      <c r="K91" s="11">
        <f>IFERROR('Cash Flow statement'!K21,0)</f>
        <v>-25</v>
      </c>
      <c r="L91" s="11">
        <f>IFERROR('Cash Flow statement'!L21,0)</f>
        <v>-20</v>
      </c>
    </row>
    <row r="92" spans="2:12" x14ac:dyDescent="0.35">
      <c r="B92" t="s">
        <v>97</v>
      </c>
      <c r="C92" s="11">
        <f>IFERROR('Cash Flow statement'!C22,0)</f>
        <v>-1289</v>
      </c>
      <c r="D92" s="11">
        <f>IFERROR('Cash Flow statement'!D22,0)</f>
        <v>-26663</v>
      </c>
      <c r="E92" s="11">
        <f>IFERROR('Cash Flow statement'!E22,0)</f>
        <v>5360</v>
      </c>
      <c r="F92" s="11">
        <f>IFERROR('Cash Flow statement'!F22,0)</f>
        <v>7335</v>
      </c>
      <c r="G92" s="11">
        <f>IFERROR('Cash Flow statement'!G22,0)</f>
        <v>-2659</v>
      </c>
      <c r="H92" s="11">
        <f>IFERROR('Cash Flow statement'!H22,0)</f>
        <v>1051</v>
      </c>
      <c r="I92" s="11">
        <f>IFERROR('Cash Flow statement'!I22,0)</f>
        <v>12813</v>
      </c>
      <c r="J92" s="11">
        <f>IFERROR('Cash Flow statement'!J22,0)</f>
        <v>-4357</v>
      </c>
      <c r="K92" s="11">
        <f>IFERROR('Cash Flow statement'!K22,0)</f>
        <v>-4817</v>
      </c>
      <c r="L92" s="11">
        <f>IFERROR('Cash Flow statement'!L22,0)</f>
        <v>-2889</v>
      </c>
    </row>
    <row r="93" spans="2:12" x14ac:dyDescent="0.35">
      <c r="B93" s="4" t="s">
        <v>5</v>
      </c>
      <c r="C93" s="12">
        <f>SUM(C82:C92)</f>
        <v>-36694</v>
      </c>
      <c r="D93" s="12">
        <f t="shared" ref="D93:L93" si="23">SUM(D82:D92)</f>
        <v>-39572</v>
      </c>
      <c r="E93" s="12">
        <f t="shared" si="23"/>
        <v>-25140</v>
      </c>
      <c r="F93" s="12">
        <f t="shared" si="23"/>
        <v>-20879</v>
      </c>
      <c r="G93" s="12">
        <f t="shared" si="23"/>
        <v>-33116</v>
      </c>
      <c r="H93" s="12">
        <f t="shared" si="23"/>
        <v>-25671</v>
      </c>
      <c r="I93" s="12">
        <f t="shared" si="23"/>
        <v>-4442</v>
      </c>
      <c r="J93" s="12">
        <f t="shared" si="23"/>
        <v>-15419</v>
      </c>
      <c r="K93" s="12">
        <f t="shared" si="23"/>
        <v>-22781</v>
      </c>
      <c r="L93" s="12">
        <f t="shared" si="23"/>
        <v>-49982</v>
      </c>
    </row>
    <row r="95" spans="2:12" x14ac:dyDescent="0.35">
      <c r="B95" s="4" t="s">
        <v>119</v>
      </c>
    </row>
    <row r="96" spans="2:12" x14ac:dyDescent="0.35">
      <c r="B96" t="s">
        <v>98</v>
      </c>
      <c r="C96" s="11">
        <f>IFERROR('Cash Flow statement'!C24,0)</f>
        <v>7433</v>
      </c>
      <c r="D96" s="11">
        <f>IFERROR('Cash Flow statement'!D24,0)</f>
        <v>5</v>
      </c>
      <c r="E96" s="11">
        <f>IFERROR('Cash Flow statement'!E24,0)</f>
        <v>0</v>
      </c>
      <c r="F96" s="11">
        <f>IFERROR('Cash Flow statement'!F24,0)</f>
        <v>0</v>
      </c>
      <c r="G96" s="11">
        <f>IFERROR('Cash Flow statement'!G24,0)</f>
        <v>3889</v>
      </c>
      <c r="H96" s="11">
        <f>IFERROR('Cash Flow statement'!H24,0)</f>
        <v>2603</v>
      </c>
      <c r="I96" s="11">
        <f>IFERROR('Cash Flow statement'!I24,0)</f>
        <v>19</v>
      </c>
      <c r="J96" s="11">
        <f>IFERROR('Cash Flow statement'!J24,0)</f>
        <v>20</v>
      </c>
      <c r="K96" s="11">
        <f>IFERROR('Cash Flow statement'!K24,0)</f>
        <v>82</v>
      </c>
      <c r="L96" s="11">
        <f>IFERROR('Cash Flow statement'!L24,0)</f>
        <v>1108</v>
      </c>
    </row>
    <row r="97" spans="2:12" x14ac:dyDescent="0.35">
      <c r="B97" t="s">
        <v>99</v>
      </c>
      <c r="C97" s="11">
        <f>IFERROR('Cash Flow statement'!C25,0)</f>
        <v>0</v>
      </c>
      <c r="D97" s="11">
        <f>IFERROR('Cash Flow statement'!D25,0)</f>
        <v>0</v>
      </c>
      <c r="E97" s="11">
        <f>IFERROR('Cash Flow statement'!E25,0)</f>
        <v>0</v>
      </c>
      <c r="F97" s="11">
        <f>IFERROR('Cash Flow statement'!F25,0)</f>
        <v>0</v>
      </c>
      <c r="G97" s="11">
        <f>IFERROR('Cash Flow statement'!G25,0)</f>
        <v>0</v>
      </c>
      <c r="H97" s="11">
        <f>IFERROR('Cash Flow statement'!H25,0)</f>
        <v>0</v>
      </c>
      <c r="I97" s="11">
        <f>IFERROR('Cash Flow statement'!I25,0)</f>
        <v>0</v>
      </c>
      <c r="J97" s="11">
        <f>IFERROR('Cash Flow statement'!J25,0)</f>
        <v>0</v>
      </c>
      <c r="K97" s="11">
        <f>IFERROR('Cash Flow statement'!K25,0)</f>
        <v>0</v>
      </c>
      <c r="L97" s="11">
        <f>IFERROR('Cash Flow statement'!L25,0)</f>
        <v>0</v>
      </c>
    </row>
    <row r="98" spans="2:12" x14ac:dyDescent="0.35">
      <c r="B98" t="s">
        <v>100</v>
      </c>
      <c r="C98" s="11">
        <f>IFERROR('Cash Flow statement'!C26,0)</f>
        <v>19519</v>
      </c>
      <c r="D98" s="11">
        <f>IFERROR('Cash Flow statement'!D26,0)</f>
        <v>33390</v>
      </c>
      <c r="E98" s="11">
        <f>IFERROR('Cash Flow statement'!E26,0)</f>
        <v>37482</v>
      </c>
      <c r="F98" s="11">
        <f>IFERROR('Cash Flow statement'!F26,0)</f>
        <v>51128</v>
      </c>
      <c r="G98" s="11">
        <f>IFERROR('Cash Flow statement'!G26,0)</f>
        <v>38297</v>
      </c>
      <c r="H98" s="11">
        <f>IFERROR('Cash Flow statement'!H26,0)</f>
        <v>46641</v>
      </c>
      <c r="I98" s="11">
        <f>IFERROR('Cash Flow statement'!I26,0)</f>
        <v>46578</v>
      </c>
      <c r="J98" s="11">
        <f>IFERROR('Cash Flow statement'!J26,0)</f>
        <v>43934</v>
      </c>
      <c r="K98" s="11">
        <f>IFERROR('Cash Flow statement'!K26,0)</f>
        <v>18829</v>
      </c>
      <c r="L98" s="11">
        <f>IFERROR('Cash Flow statement'!L26,0)</f>
        <v>13384</v>
      </c>
    </row>
    <row r="99" spans="2:12" x14ac:dyDescent="0.35">
      <c r="B99" t="s">
        <v>101</v>
      </c>
      <c r="C99" s="11">
        <f>IFERROR('Cash Flow statement'!C27,0)</f>
        <v>-24924</v>
      </c>
      <c r="D99" s="11">
        <f>IFERROR('Cash Flow statement'!D27,0)</f>
        <v>-21732</v>
      </c>
      <c r="E99" s="11">
        <f>IFERROR('Cash Flow statement'!E27,0)</f>
        <v>-29964</v>
      </c>
      <c r="F99" s="11">
        <f>IFERROR('Cash Flow statement'!F27,0)</f>
        <v>-35198</v>
      </c>
      <c r="G99" s="11">
        <f>IFERROR('Cash Flow statement'!G27,0)</f>
        <v>-29847</v>
      </c>
      <c r="H99" s="11">
        <f>IFERROR('Cash Flow statement'!H27,0)</f>
        <v>-29709</v>
      </c>
      <c r="I99" s="11">
        <f>IFERROR('Cash Flow statement'!I27,0)</f>
        <v>-42816</v>
      </c>
      <c r="J99" s="11">
        <f>IFERROR('Cash Flow statement'!J27,0)</f>
        <v>-62557</v>
      </c>
      <c r="K99" s="11">
        <f>IFERROR('Cash Flow statement'!K27,0)</f>
        <v>-47414</v>
      </c>
      <c r="L99" s="11">
        <f>IFERROR('Cash Flow statement'!L27,0)</f>
        <v>-21443</v>
      </c>
    </row>
    <row r="100" spans="2:12" x14ac:dyDescent="0.35">
      <c r="B100" t="s">
        <v>102</v>
      </c>
      <c r="C100" s="11">
        <f>IFERROR('Cash Flow statement'!C28,0)</f>
        <v>-5716</v>
      </c>
      <c r="D100" s="11">
        <f>IFERROR('Cash Flow statement'!D28,0)</f>
        <v>-5336</v>
      </c>
      <c r="E100" s="11">
        <f>IFERROR('Cash Flow statement'!E28,0)</f>
        <v>-5411</v>
      </c>
      <c r="F100" s="11">
        <f>IFERROR('Cash Flow statement'!F28,0)</f>
        <v>-7005</v>
      </c>
      <c r="G100" s="11">
        <f>IFERROR('Cash Flow statement'!G28,0)</f>
        <v>-7518</v>
      </c>
      <c r="H100" s="11">
        <f>IFERROR('Cash Flow statement'!H28,0)</f>
        <v>-8123</v>
      </c>
      <c r="I100" s="11">
        <f>IFERROR('Cash Flow statement'!I28,0)</f>
        <v>-9251</v>
      </c>
      <c r="J100" s="11">
        <f>IFERROR('Cash Flow statement'!J28,0)</f>
        <v>-9336</v>
      </c>
      <c r="K100" s="11">
        <f>IFERROR('Cash Flow statement'!K28,0)</f>
        <v>-9332</v>
      </c>
      <c r="L100" s="11">
        <f>IFERROR('Cash Flow statement'!L28,0)</f>
        <v>-5814</v>
      </c>
    </row>
    <row r="101" spans="2:12" x14ac:dyDescent="0.35">
      <c r="B101" t="s">
        <v>103</v>
      </c>
      <c r="C101" s="11">
        <f>IFERROR('Cash Flow statement'!C29,0)</f>
        <v>-108</v>
      </c>
      <c r="D101" s="11">
        <f>IFERROR('Cash Flow statement'!D29,0)</f>
        <v>-121</v>
      </c>
      <c r="E101" s="11">
        <f>IFERROR('Cash Flow statement'!E29,0)</f>
        <v>-96</v>
      </c>
      <c r="F101" s="11">
        <f>IFERROR('Cash Flow statement'!F29,0)</f>
        <v>-95</v>
      </c>
      <c r="G101" s="11">
        <f>IFERROR('Cash Flow statement'!G29,0)</f>
        <v>-57</v>
      </c>
      <c r="H101" s="11">
        <f>IFERROR('Cash Flow statement'!H29,0)</f>
        <v>-30</v>
      </c>
      <c r="I101" s="11">
        <f>IFERROR('Cash Flow statement'!I29,0)</f>
        <v>-100</v>
      </c>
      <c r="J101" s="11">
        <f>IFERROR('Cash Flow statement'!J29,0)</f>
        <v>-141</v>
      </c>
      <c r="K101" s="11">
        <f>IFERROR('Cash Flow statement'!K29,0)</f>
        <v>-1059</v>
      </c>
      <c r="L101" s="11">
        <f>IFERROR('Cash Flow statement'!L29,0)</f>
        <v>-2492</v>
      </c>
    </row>
    <row r="102" spans="2:12" x14ac:dyDescent="0.35">
      <c r="B102" t="s">
        <v>104</v>
      </c>
      <c r="C102" s="11">
        <f>IFERROR('Cash Flow statement'!C30,0)</f>
        <v>0</v>
      </c>
      <c r="D102" s="11">
        <f>IFERROR('Cash Flow statement'!D30,0)</f>
        <v>0</v>
      </c>
      <c r="E102" s="11">
        <f>IFERROR('Cash Flow statement'!E30,0)</f>
        <v>0</v>
      </c>
      <c r="F102" s="11">
        <f>IFERROR('Cash Flow statement'!F30,0)</f>
        <v>0</v>
      </c>
      <c r="G102" s="11">
        <f>IFERROR('Cash Flow statement'!G30,0)</f>
        <v>-1346</v>
      </c>
      <c r="H102" s="11">
        <f>IFERROR('Cash Flow statement'!H30,0)</f>
        <v>-1477</v>
      </c>
      <c r="I102" s="11">
        <f>IFERROR('Cash Flow statement'!I30,0)</f>
        <v>-1559</v>
      </c>
      <c r="J102" s="11">
        <f>IFERROR('Cash Flow statement'!J30,0)</f>
        <v>-1517</v>
      </c>
      <c r="K102" s="11">
        <f>IFERROR('Cash Flow statement'!K30,0)</f>
        <v>-1924</v>
      </c>
      <c r="L102" s="11">
        <f>IFERROR('Cash Flow statement'!L30,0)</f>
        <v>-2393</v>
      </c>
    </row>
    <row r="103" spans="2:12" x14ac:dyDescent="0.35">
      <c r="B103" t="s">
        <v>105</v>
      </c>
      <c r="C103" s="11">
        <f>IFERROR('Cash Flow statement'!C31,0)</f>
        <v>0</v>
      </c>
      <c r="D103" s="11">
        <f>IFERROR('Cash Flow statement'!D31,0)</f>
        <v>0</v>
      </c>
      <c r="E103" s="11">
        <f>IFERROR('Cash Flow statement'!E31,0)</f>
        <v>0</v>
      </c>
      <c r="F103" s="11">
        <f>IFERROR('Cash Flow statement'!F31,0)</f>
        <v>0</v>
      </c>
      <c r="G103" s="11">
        <f>IFERROR('Cash Flow statement'!G31,0)</f>
        <v>-29</v>
      </c>
      <c r="H103" s="11">
        <f>IFERROR('Cash Flow statement'!H31,0)</f>
        <v>0</v>
      </c>
      <c r="I103" s="11">
        <f>IFERROR('Cash Flow statement'!I31,0)</f>
        <v>3750</v>
      </c>
      <c r="J103" s="11">
        <f>IFERROR('Cash Flow statement'!J31,0)</f>
        <v>3355</v>
      </c>
      <c r="K103" s="11">
        <f>IFERROR('Cash Flow statement'!K31,0)</f>
        <v>3812</v>
      </c>
      <c r="L103" s="11">
        <f>IFERROR('Cash Flow statement'!L31,0)</f>
        <v>-1136</v>
      </c>
    </row>
    <row r="104" spans="2:12" x14ac:dyDescent="0.35">
      <c r="B104" s="4" t="s">
        <v>120</v>
      </c>
      <c r="C104" s="12">
        <f>IFERROR(SUM(C96:C103),0)</f>
        <v>-3796</v>
      </c>
      <c r="D104" s="12">
        <f t="shared" ref="D104:L104" si="24">IFERROR(SUM(D96:D103),0)</f>
        <v>6206</v>
      </c>
      <c r="E104" s="12">
        <f t="shared" si="24"/>
        <v>2011</v>
      </c>
      <c r="F104" s="12">
        <f t="shared" si="24"/>
        <v>8830</v>
      </c>
      <c r="G104" s="12">
        <f t="shared" si="24"/>
        <v>3389</v>
      </c>
      <c r="H104" s="12">
        <f t="shared" si="24"/>
        <v>9905</v>
      </c>
      <c r="I104" s="12">
        <f t="shared" si="24"/>
        <v>-3379</v>
      </c>
      <c r="J104" s="12">
        <f t="shared" si="24"/>
        <v>-26242</v>
      </c>
      <c r="K104" s="12">
        <f t="shared" si="24"/>
        <v>-37006</v>
      </c>
      <c r="L104" s="12">
        <f t="shared" si="24"/>
        <v>-18786</v>
      </c>
    </row>
    <row r="106" spans="2:12" x14ac:dyDescent="0.35">
      <c r="B106" s="4" t="s">
        <v>3</v>
      </c>
      <c r="C106" s="12">
        <f t="shared" ref="C106:L106" si="25">IFERROR(SUM(C78,C93,C104),0)</f>
        <v>-2591</v>
      </c>
      <c r="D106" s="12">
        <f t="shared" si="25"/>
        <v>-3166</v>
      </c>
      <c r="E106" s="12">
        <f t="shared" si="25"/>
        <v>728</v>
      </c>
      <c r="F106" s="12">
        <f t="shared" si="25"/>
        <v>6843</v>
      </c>
      <c r="G106" s="12">
        <f t="shared" si="25"/>
        <v>-3094</v>
      </c>
      <c r="H106" s="12">
        <f t="shared" si="25"/>
        <v>13234</v>
      </c>
      <c r="I106" s="12">
        <f t="shared" si="25"/>
        <v>6461</v>
      </c>
      <c r="J106" s="12">
        <f t="shared" si="25"/>
        <v>-6273</v>
      </c>
      <c r="K106" s="12">
        <f t="shared" si="25"/>
        <v>8128</v>
      </c>
      <c r="L106" s="12">
        <f t="shared" si="25"/>
        <v>-5666</v>
      </c>
    </row>
  </sheetData>
  <mergeCells count="1">
    <mergeCell ref="B2:M2"/>
  </mergeCells>
  <pageMargins left="0.7" right="0.7" top="0.75" bottom="0.75" header="0.3" footer="0.3"/>
  <pageSetup orientation="portrait" r:id="rId1"/>
  <ignoredErrors>
    <ignoredError sqref="M5 M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40"/>
  <sheetViews>
    <sheetView showGridLines="0" zoomScale="70" workbookViewId="0">
      <pane ySplit="3" topLeftCell="A4" activePane="bottomLeft" state="frozen"/>
      <selection pane="bottomLeft" activeCell="O15" sqref="O15"/>
    </sheetView>
  </sheetViews>
  <sheetFormatPr defaultRowHeight="14.5" x14ac:dyDescent="0.35"/>
  <cols>
    <col min="1" max="1" width="1.90625" customWidth="1"/>
    <col min="2" max="2" width="24.08984375" bestFit="1" customWidth="1"/>
    <col min="3" max="3" width="8.36328125" bestFit="1" customWidth="1"/>
    <col min="4" max="4" width="12" bestFit="1" customWidth="1"/>
    <col min="7" max="7" width="8.54296875" bestFit="1" customWidth="1"/>
    <col min="8" max="8" width="9.08984375" bestFit="1" customWidth="1"/>
    <col min="9" max="9" width="10" bestFit="1" customWidth="1"/>
    <col min="13" max="13" width="21.08984375" customWidth="1"/>
    <col min="14" max="15" width="11.36328125" bestFit="1" customWidth="1"/>
  </cols>
  <sheetData>
    <row r="2" spans="2:15" x14ac:dyDescent="0.35">
      <c r="B2" s="41" t="str">
        <f>"Ratio Analysis Staement - "&amp;'Data Sheet'!B1</f>
        <v>Ratio Analysis Staement - INDIAN BANK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2:15" x14ac:dyDescent="0.35">
      <c r="B3" s="1" t="s">
        <v>54</v>
      </c>
      <c r="C3" s="2">
        <f>'Data Sheet'!B16</f>
        <v>42825</v>
      </c>
      <c r="D3" s="2">
        <f>'Data Sheet'!C16</f>
        <v>43190</v>
      </c>
      <c r="E3" s="2">
        <f>'Data Sheet'!D16</f>
        <v>43555</v>
      </c>
      <c r="F3" s="2">
        <f>'Data Sheet'!E16</f>
        <v>43921</v>
      </c>
      <c r="G3" s="2">
        <f>'Data Sheet'!F16</f>
        <v>44286</v>
      </c>
      <c r="H3" s="2">
        <f>'Data Sheet'!G16</f>
        <v>44651</v>
      </c>
      <c r="I3" s="2">
        <f>'Data Sheet'!H16</f>
        <v>45016</v>
      </c>
      <c r="J3" s="2">
        <f>'Data Sheet'!I16</f>
        <v>45382</v>
      </c>
      <c r="K3" s="2">
        <f>'Data Sheet'!J16</f>
        <v>45747</v>
      </c>
      <c r="L3" s="2">
        <f>'Data Sheet'!K16</f>
        <v>46112</v>
      </c>
      <c r="M3" s="27" t="s">
        <v>156</v>
      </c>
      <c r="N3" s="2" t="s">
        <v>154</v>
      </c>
      <c r="O3" s="2" t="s">
        <v>155</v>
      </c>
    </row>
    <row r="5" spans="2:15" x14ac:dyDescent="0.35">
      <c r="B5" s="18" t="s">
        <v>58</v>
      </c>
      <c r="C5" s="19"/>
      <c r="D5" s="20">
        <f>IFERROR(HistoricalFS!D6,0)</f>
        <v>6.7091791246706611E-2</v>
      </c>
      <c r="E5" s="20">
        <f>IFERROR(HistoricalFS!E6,0)</f>
        <v>0.12075380419413717</v>
      </c>
      <c r="F5" s="20">
        <f>IFERROR(HistoricalFS!F6,0)</f>
        <v>0.11569247515647429</v>
      </c>
      <c r="G5" s="20">
        <f>IFERROR(HistoricalFS!G6,0)</f>
        <v>0.82737107313207447</v>
      </c>
      <c r="H5" s="20">
        <f>IFERROR(HistoricalFS!H6,0)</f>
        <v>-5.6162307124256738E-3</v>
      </c>
      <c r="I5" s="20">
        <f>IFERROR(HistoricalFS!I6,0)</f>
        <v>0.15677460962692247</v>
      </c>
      <c r="J5" s="20">
        <f>IFERROR(HistoricalFS!J6,0)</f>
        <v>0.23706862440858267</v>
      </c>
      <c r="K5" s="20">
        <f>IFERROR(HistoricalFS!K6,0)</f>
        <v>0.11481996408607897</v>
      </c>
      <c r="L5" s="20">
        <f>IFERROR(HistoricalFS!L6,0)</f>
        <v>8.8083659053604935E-2</v>
      </c>
      <c r="M5" s="20"/>
      <c r="N5" s="20">
        <f>IFERROR(AVERAGE(D5:L5),0)</f>
        <v>0.19133775224357288</v>
      </c>
      <c r="O5" s="20">
        <f>IFERROR(MEDIAN(C5:L5),0)</f>
        <v>0.11569247515647429</v>
      </c>
    </row>
    <row r="6" spans="2:15" x14ac:dyDescent="0.35">
      <c r="B6" t="s">
        <v>124</v>
      </c>
      <c r="D6" s="15">
        <f>IFERROR(HistoricalFS!D17/HistoricalFS!C17-1,0)</f>
        <v>2.2370435494384111E-2</v>
      </c>
      <c r="E6" s="15">
        <f>IFERROR(HistoricalFS!E17/HistoricalFS!D17-1,0)</f>
        <v>7.6727139019197255E-2</v>
      </c>
      <c r="F6" s="15">
        <f>IFERROR(HistoricalFS!F17/HistoricalFS!E17-1,0)</f>
        <v>0.11660410510342589</v>
      </c>
      <c r="G6" s="15">
        <f>IFERROR(HistoricalFS!G17/HistoricalFS!F17-1,0)</f>
        <v>0.73298573515616861</v>
      </c>
      <c r="H6" s="15">
        <f>IFERROR(HistoricalFS!H17/HistoricalFS!G17-1,0)</f>
        <v>-0.11743469366842618</v>
      </c>
      <c r="I6" s="15">
        <f>IFERROR(HistoricalFS!I17/HistoricalFS!H17-1,0)</f>
        <v>0.25826421625805596</v>
      </c>
      <c r="J6" s="15">
        <f>IFERROR(HistoricalFS!J17/HistoricalFS!I17-1,0)</f>
        <v>0.5083194600905574</v>
      </c>
      <c r="K6" s="15">
        <f>IFERROR(HistoricalFS!K17/HistoricalFS!J17-1,0)</f>
        <v>0.19582211044174991</v>
      </c>
      <c r="L6" s="15">
        <f>IFERROR(HistoricalFS!L17/HistoricalFS!K17-1,0)</f>
        <v>0.10830375699440431</v>
      </c>
      <c r="M6" s="15"/>
      <c r="N6" s="15">
        <f t="shared" ref="N6:N9" si="0">IFERROR(AVERAGE(D6:L6),0)</f>
        <v>0.2113291405432797</v>
      </c>
      <c r="O6" s="15">
        <f t="shared" ref="O6:O9" si="1">IFERROR(MEDIAN(C6:L6),0)</f>
        <v>0.11660410510342589</v>
      </c>
    </row>
    <row r="7" spans="2:15" x14ac:dyDescent="0.35">
      <c r="B7" t="s">
        <v>123</v>
      </c>
      <c r="D7" s="15">
        <f>IFERROR(HistoricalFS!D26/HistoricalFS!C26-1,0)</f>
        <v>-0.16432167290564137</v>
      </c>
      <c r="E7" s="15">
        <f>IFERROR(HistoricalFS!E26/HistoricalFS!D26-1,0)</f>
        <v>0.57838533621666133</v>
      </c>
      <c r="F7" s="15">
        <f>IFERROR(HistoricalFS!F26/HistoricalFS!E26-1,0)</f>
        <v>0.27093432152247399</v>
      </c>
      <c r="G7" s="15">
        <f>IFERROR(HistoricalFS!G26/HistoricalFS!F26-1,0)</f>
        <v>0.53824593824593681</v>
      </c>
      <c r="H7" s="15">
        <f>IFERROR(HistoricalFS!H26/HistoricalFS!G26-1,0)</f>
        <v>0.37703982540095504</v>
      </c>
      <c r="I7" s="15">
        <f>IFERROR(HistoricalFS!I26/HistoricalFS!H26-1,0)</f>
        <v>-0.55377434622347288</v>
      </c>
      <c r="J7" s="15">
        <f>IFERROR(HistoricalFS!J26/HistoricalFS!I26-1,0)</f>
        <v>-2.322645290581165</v>
      </c>
      <c r="K7" s="15">
        <f>IFERROR(HistoricalFS!K26/HistoricalFS!J26-1,0)</f>
        <v>0.99230516547589498</v>
      </c>
      <c r="L7" s="15">
        <f>IFERROR(HistoricalFS!L26/HistoricalFS!K26-1,0)</f>
        <v>0.16372221283331045</v>
      </c>
      <c r="M7" s="15"/>
      <c r="N7" s="15">
        <f t="shared" si="0"/>
        <v>-1.3345390001671835E-2</v>
      </c>
      <c r="O7" s="15">
        <f t="shared" si="1"/>
        <v>0.27093432152247399</v>
      </c>
    </row>
    <row r="8" spans="2:15" x14ac:dyDescent="0.35">
      <c r="B8" t="s">
        <v>122</v>
      </c>
      <c r="D8" s="15">
        <f>IFERROR(HistoricalFS!D32/HistoricalFS!C32-1,0)</f>
        <v>0.4251812869831606</v>
      </c>
      <c r="E8" s="15">
        <f>IFERROR(HistoricalFS!E32/HistoricalFS!D32-1,0)</f>
        <v>0.36131649431813262</v>
      </c>
      <c r="F8" s="15">
        <f>IFERROR(HistoricalFS!F32/HistoricalFS!E32-1,0)</f>
        <v>0.63476832366556213</v>
      </c>
      <c r="G8" s="15">
        <f>IFERROR(HistoricalFS!G32/HistoricalFS!F32-1,0)</f>
        <v>0.20575519393009256</v>
      </c>
      <c r="H8" s="15">
        <f>IFERROR(HistoricalFS!H32/HistoricalFS!G32-1,0)</f>
        <v>9.3724157535660657E-2</v>
      </c>
      <c r="I8" s="15">
        <f>IFERROR(HistoricalFS!I32/HistoricalFS!H32-1,0)</f>
        <v>-0.26929960836665845</v>
      </c>
      <c r="J8" s="15">
        <f>IFERROR(HistoricalFS!J32/HistoricalFS!I32-1,0)</f>
        <v>-0.8169780357474884</v>
      </c>
      <c r="K8" s="15">
        <f>IFERROR(HistoricalFS!K32/HistoricalFS!J32-1,0)</f>
        <v>-3.1718639575971763</v>
      </c>
      <c r="L8" s="15">
        <f>IFERROR(HistoricalFS!L32/HistoricalFS!K32-1,0)</f>
        <v>0.42195603099387169</v>
      </c>
      <c r="M8" s="15"/>
      <c r="N8" s="15">
        <f t="shared" si="0"/>
        <v>-0.23504890158720476</v>
      </c>
      <c r="O8" s="15">
        <f t="shared" si="1"/>
        <v>0.20575519393009256</v>
      </c>
    </row>
    <row r="9" spans="2:15" x14ac:dyDescent="0.35">
      <c r="B9" s="21" t="s">
        <v>121</v>
      </c>
      <c r="C9" s="21"/>
      <c r="D9" s="22">
        <f>IFERROR(HistoricalFS!D40/HistoricalFS!C40-1,0)</f>
        <v>-1</v>
      </c>
      <c r="E9" s="22">
        <f>IFERROR(HistoricalFS!E40/HistoricalFS!D40-1,0)</f>
        <v>0</v>
      </c>
      <c r="F9" s="22">
        <f>IFERROR(HistoricalFS!F40/HistoricalFS!E40-1,0)</f>
        <v>0</v>
      </c>
      <c r="G9" s="22">
        <f>IFERROR(HistoricalFS!G40/HistoricalFS!F40-1,0)</f>
        <v>0</v>
      </c>
      <c r="H9" s="22">
        <f>IFERROR(HistoricalFS!H40/HistoricalFS!G40-1,0)</f>
        <v>2.2502643366407162</v>
      </c>
      <c r="I9" s="22">
        <f>IFERROR(HistoricalFS!I40/HistoricalFS!H40-1,0)</f>
        <v>0.32307236208217005</v>
      </c>
      <c r="J9" s="22">
        <f>IFERROR(HistoricalFS!J40/HistoricalFS!I40-1,0)</f>
        <v>0.39525877744307336</v>
      </c>
      <c r="K9" s="22">
        <f>IFERROR(HistoricalFS!K40/HistoricalFS!J40-1,0)</f>
        <v>0.35416834225260607</v>
      </c>
      <c r="L9" s="22">
        <f>IFERROR(HistoricalFS!L40/HistoricalFS!K40-1,0)</f>
        <v>0.12307600933840757</v>
      </c>
      <c r="M9" s="22"/>
      <c r="N9" s="22">
        <f t="shared" si="0"/>
        <v>0.27175998086188596</v>
      </c>
      <c r="O9" s="22">
        <f t="shared" si="1"/>
        <v>0.12307600933840757</v>
      </c>
    </row>
    <row r="11" spans="2:15" x14ac:dyDescent="0.35">
      <c r="B11" s="18" t="s">
        <v>125</v>
      </c>
      <c r="C11" s="20">
        <f>IFERROR(HistoricalFS!C12,0)</f>
        <v>0.86970688100792926</v>
      </c>
      <c r="D11" s="20">
        <f>IFERROR(HistoricalFS!D12,0)</f>
        <v>0.87145376189285384</v>
      </c>
      <c r="E11" s="20">
        <f>IFERROR(HistoricalFS!E12,0)</f>
        <v>0.8788492998145141</v>
      </c>
      <c r="F11" s="20">
        <f>IFERROR(HistoricalFS!F12,0)</f>
        <v>0.87976233197266696</v>
      </c>
      <c r="G11" s="20">
        <f>IFERROR(HistoricalFS!G12,0)</f>
        <v>0.83087510304775891</v>
      </c>
      <c r="H11" s="20">
        <f>IFERROR(HistoricalFS!H12,0)</f>
        <v>0.82035946929215986</v>
      </c>
      <c r="I11" s="20">
        <f>IFERROR(HistoricalFS!I12,0)</f>
        <v>0.82714855298947476</v>
      </c>
      <c r="J11" s="20">
        <f>IFERROR(HistoricalFS!J12,0)</f>
        <v>0.82794363961873674</v>
      </c>
      <c r="K11" s="20">
        <f>IFERROR(HistoricalFS!K12,0)</f>
        <v>0.83476476170074421</v>
      </c>
      <c r="L11" s="20">
        <f>IFERROR(HistoricalFS!L12,0)</f>
        <v>0.83461831720122437</v>
      </c>
      <c r="M11" s="18"/>
      <c r="N11" s="20">
        <f>IFERROR(AVERAGE(D11:L11),0)</f>
        <v>0.84508613750334816</v>
      </c>
      <c r="O11" s="20">
        <f>IFERROR(MEDIAN(C11:L11),0)</f>
        <v>0.83469153945098429</v>
      </c>
    </row>
    <row r="12" spans="2:15" x14ac:dyDescent="0.35">
      <c r="B12" t="s">
        <v>127</v>
      </c>
      <c r="C12" s="15">
        <f>IFERROR(HistoricalFS!C18,0)</f>
        <v>0.61696578761311327</v>
      </c>
      <c r="D12" s="15">
        <f>IFERROR(HistoricalFS!D18,0)</f>
        <v>0.59110901811943928</v>
      </c>
      <c r="E12" s="15">
        <f>IFERROR(HistoricalFS!E18,0)</f>
        <v>0.56788843325482241</v>
      </c>
      <c r="F12" s="15">
        <f>IFERROR(HistoricalFS!F18,0)</f>
        <v>0.56835245368501319</v>
      </c>
      <c r="G12" s="15">
        <f>IFERROR(HistoricalFS!G18,0)</f>
        <v>0.538996544959507</v>
      </c>
      <c r="H12" s="15">
        <f>IFERROR(HistoricalFS!H18,0)</f>
        <v>0.47838637908849013</v>
      </c>
      <c r="I12" s="15">
        <f>IFERROR(HistoricalFS!I18,0)</f>
        <v>0.52035760237376061</v>
      </c>
      <c r="J12" s="15">
        <f>IFERROR(HistoricalFS!J18,0)</f>
        <v>0.63445590841141553</v>
      </c>
      <c r="K12" s="15">
        <f>IFERROR(HistoricalFS!K18,0)</f>
        <v>0.68055509214059506</v>
      </c>
      <c r="L12" s="15">
        <f>IFERROR(HistoricalFS!L18,0)</f>
        <v>0.6932019970938057</v>
      </c>
      <c r="N12" s="15">
        <f t="shared" ref="N12:N15" si="2">IFERROR(AVERAGE(D12:L12),0)</f>
        <v>0.58592260323631651</v>
      </c>
      <c r="O12" s="15">
        <f t="shared" ref="O12:O15" si="3">IFERROR(MEDIAN(C12:L12),0)</f>
        <v>0.57973073590222624</v>
      </c>
    </row>
    <row r="13" spans="2:15" x14ac:dyDescent="0.35">
      <c r="B13" t="s">
        <v>128</v>
      </c>
      <c r="C13" s="15">
        <f>IFERROR((HistoricalFS!C17-HistoricalFS!C23)/HistoricalFS!C5,0)</f>
        <v>0.60660119382363975</v>
      </c>
      <c r="D13" s="15">
        <f>IFERROR((HistoricalFS!D17-HistoricalFS!D23)/HistoricalFS!D5,0)</f>
        <v>0.57727112318086959</v>
      </c>
      <c r="E13" s="15">
        <f>IFERROR((HistoricalFS!E17-HistoricalFS!E23)/HistoricalFS!E5,0)</f>
        <v>0.55437111551105556</v>
      </c>
      <c r="F13" s="15">
        <f>IFERROR((HistoricalFS!F17-HistoricalFS!F23)/HistoricalFS!F5,0)</f>
        <v>0.55367996680572362</v>
      </c>
      <c r="G13" s="15">
        <f>IFERROR((HistoricalFS!G17-HistoricalFS!G23)/HistoricalFS!G5,0)</f>
        <v>0.52271090782262886</v>
      </c>
      <c r="H13" s="15">
        <f>IFERROR((HistoricalFS!H17-HistoricalFS!H23)/HistoricalFS!H5,0)</f>
        <v>0.4629355150270878</v>
      </c>
      <c r="I13" s="15">
        <f>IFERROR((HistoricalFS!I17-HistoricalFS!I23)/HistoricalFS!I5,0)</f>
        <v>0.5085228106335512</v>
      </c>
      <c r="J13" s="15">
        <f>IFERROR((HistoricalFS!J17-HistoricalFS!J23)/HistoricalFS!J5,0)</f>
        <v>0.62491156740562803</v>
      </c>
      <c r="K13" s="15">
        <f>IFERROR((HistoricalFS!K17-HistoricalFS!K23)/HistoricalFS!K5,0)</f>
        <v>0.67180356105786265</v>
      </c>
      <c r="L13" s="15">
        <f>IFERROR((HistoricalFS!L17-HistoricalFS!L23)/HistoricalFS!L5,0)</f>
        <v>0.68418239546670423</v>
      </c>
      <c r="N13" s="15">
        <f t="shared" si="2"/>
        <v>0.57337655143456812</v>
      </c>
      <c r="O13" s="15">
        <f t="shared" si="3"/>
        <v>0.56582111934596258</v>
      </c>
    </row>
    <row r="14" spans="2:15" x14ac:dyDescent="0.35">
      <c r="B14" t="s">
        <v>129</v>
      </c>
      <c r="C14" s="15">
        <f>IFERROR(HistoricalFS!C27,0)</f>
        <v>-7.2450530636776672E-2</v>
      </c>
      <c r="D14" s="15">
        <f>IFERROR(HistoricalFS!D27,0)</f>
        <v>-5.6738641170600394E-2</v>
      </c>
      <c r="E14" s="15">
        <f>IFERROR(HistoricalFS!E27,0)</f>
        <v>-7.9906433407048061E-2</v>
      </c>
      <c r="F14" s="15">
        <f>IFERROR(HistoricalFS!F27,0)</f>
        <v>-9.1024929350020323E-2</v>
      </c>
      <c r="G14" s="15">
        <f>IFERROR(HistoricalFS!G27,0)</f>
        <v>-7.6623040558370589E-2</v>
      </c>
      <c r="H14" s="15">
        <f>IFERROR(HistoricalFS!H27,0)</f>
        <v>-0.10610891051428126</v>
      </c>
      <c r="I14" s="15">
        <f>IFERROR(HistoricalFS!I27,0)</f>
        <v>-4.0931498298549959E-2</v>
      </c>
      <c r="J14" s="15">
        <f>IFERROR(HistoricalFS!J27,0)</f>
        <v>4.3763015561800594E-2</v>
      </c>
      <c r="K14" s="15">
        <f>IFERROR(HistoricalFS!K27,0)</f>
        <v>7.8209293670170696E-2</v>
      </c>
      <c r="L14" s="15">
        <f>IFERROR(HistoricalFS!L27,0)</f>
        <v>8.3646042780518778E-2</v>
      </c>
      <c r="N14" s="15">
        <f t="shared" si="2"/>
        <v>-2.7301677920708946E-2</v>
      </c>
      <c r="O14" s="15">
        <f t="shared" si="3"/>
        <v>-6.4594585903688537E-2</v>
      </c>
    </row>
    <row r="15" spans="2:15" x14ac:dyDescent="0.35">
      <c r="B15" s="21" t="s">
        <v>126</v>
      </c>
      <c r="C15" s="22">
        <f>IFERROR(HistoricalFS!C33,0)</f>
        <v>-5.0469411854192486E-2</v>
      </c>
      <c r="D15" s="22">
        <f>IFERROR(HistoricalFS!D33,0)</f>
        <v>-6.7405692677671256E-2</v>
      </c>
      <c r="E15" s="22">
        <f>IFERROR(HistoricalFS!E33,0)</f>
        <v>-8.1873896755614378E-2</v>
      </c>
      <c r="F15" s="22">
        <f>IFERROR(HistoricalFS!F33,0)</f>
        <v>-0.11996572167646061</v>
      </c>
      <c r="G15" s="22">
        <f>IFERROR(HistoricalFS!G33,0)</f>
        <v>-7.9157043761800674E-2</v>
      </c>
      <c r="H15" s="22">
        <f>IFERROR(HistoricalFS!H33,0)</f>
        <v>-8.7064947835397768E-2</v>
      </c>
      <c r="I15" s="22">
        <f>IFERROR(HistoricalFS!I33,0)</f>
        <v>-5.4996358799212844E-2</v>
      </c>
      <c r="J15" s="22">
        <f>IFERROR(HistoricalFS!J33,0)</f>
        <v>-8.1366073114819849E-3</v>
      </c>
      <c r="K15" s="22">
        <f>IFERROR(HistoricalFS!K33,0)</f>
        <v>1.5851531840315066E-2</v>
      </c>
      <c r="L15" s="22">
        <f>IFERROR(HistoricalFS!L33,0)</f>
        <v>2.0715485535765171E-2</v>
      </c>
      <c r="M15" s="21"/>
      <c r="N15" s="22">
        <f t="shared" si="2"/>
        <v>-5.1337027937951023E-2</v>
      </c>
      <c r="O15" s="22">
        <f t="shared" si="3"/>
        <v>-6.120102573844205E-2</v>
      </c>
    </row>
    <row r="17" spans="2:15" x14ac:dyDescent="0.35">
      <c r="B17" s="18" t="s">
        <v>130</v>
      </c>
      <c r="C17" s="20">
        <f>IFERROR(HistoricalFS!C15,0)</f>
        <v>0.25274109339481599</v>
      </c>
      <c r="D17" s="20">
        <f>IFERROR(HistoricalFS!D15,0)</f>
        <v>0.28034474377341467</v>
      </c>
      <c r="E17" s="20">
        <f>IFERROR(HistoricalFS!E15,0)</f>
        <v>0.31096086655969168</v>
      </c>
      <c r="F17" s="20">
        <f>IFERROR(HistoricalFS!F15,0)</f>
        <v>0.31140987828765387</v>
      </c>
      <c r="G17" s="20">
        <f>IFERROR(HistoricalFS!G15,0)</f>
        <v>0.29187855808825186</v>
      </c>
      <c r="H17" s="20">
        <f>IFERROR(HistoricalFS!H15,0)</f>
        <v>0.34197309020366973</v>
      </c>
      <c r="I17" s="20">
        <f>IFERROR(HistoricalFS!I15,0)</f>
        <v>0.30679095061571415</v>
      </c>
      <c r="J17" s="20">
        <f>IFERROR(HistoricalFS!J15,0)</f>
        <v>0.19348773120732124</v>
      </c>
      <c r="K17" s="20">
        <f>IFERROR(HistoricalFS!K15,0)</f>
        <v>0.15420966956014909</v>
      </c>
      <c r="L17" s="20">
        <f>IFERROR(HistoricalFS!L15,0)</f>
        <v>0.1414163201074187</v>
      </c>
      <c r="M17" s="18"/>
      <c r="N17" s="20">
        <f t="shared" ref="N17:N19" si="4">IFERROR(AVERAGE(C17:L17),0)</f>
        <v>0.25852129017981007</v>
      </c>
      <c r="O17" s="20">
        <f t="shared" ref="O17:O19" si="5">IFERROR(MEDIAN(C17:L17),0)</f>
        <v>0.28611165093083324</v>
      </c>
    </row>
    <row r="18" spans="2:15" x14ac:dyDescent="0.35">
      <c r="B18" t="s">
        <v>131</v>
      </c>
      <c r="C18" s="15">
        <f>IFERROR(HistoricalFS!C24,0)</f>
        <v>1.0364593789473554E-2</v>
      </c>
      <c r="D18" s="15">
        <f>IFERROR(HistoricalFS!D24,0)</f>
        <v>1.3837894938569656E-2</v>
      </c>
      <c r="E18" s="15">
        <f>IFERROR(HistoricalFS!E24,0)</f>
        <v>1.3517317743766832E-2</v>
      </c>
      <c r="F18" s="15">
        <f>IFERROR(HistoricalFS!F24,0)</f>
        <v>1.4672486879289463E-2</v>
      </c>
      <c r="G18" s="15">
        <f>IFERROR(HistoricalFS!G24,0)</f>
        <v>1.6285637136878108E-2</v>
      </c>
      <c r="H18" s="15">
        <f>IFERROR(HistoricalFS!H24,0)</f>
        <v>1.5450864061402309E-2</v>
      </c>
      <c r="I18" s="15">
        <f>IFERROR(HistoricalFS!I24,0)</f>
        <v>1.1834791740209436E-2</v>
      </c>
      <c r="J18" s="15">
        <f>IFERROR(HistoricalFS!J24,0)</f>
        <v>9.5443410057874482E-3</v>
      </c>
      <c r="K18" s="15">
        <f>IFERROR(HistoricalFS!K24,0)</f>
        <v>8.7515310827323851E-3</v>
      </c>
      <c r="L18" s="15">
        <f>IFERROR(HistoricalFS!L24,0)</f>
        <v>9.0196016271014111E-3</v>
      </c>
      <c r="N18" s="15">
        <f t="shared" si="4"/>
        <v>1.232790600052106E-2</v>
      </c>
      <c r="O18" s="15">
        <f t="shared" si="5"/>
        <v>1.2676054741988133E-2</v>
      </c>
    </row>
    <row r="19" spans="2:15" x14ac:dyDescent="0.35">
      <c r="B19" s="21" t="s">
        <v>132</v>
      </c>
      <c r="C19" s="22">
        <f>IFERROR(C13,0)</f>
        <v>0.60660119382363975</v>
      </c>
      <c r="D19" s="22">
        <f t="shared" ref="D19:L19" si="6">IFERROR(D13,0)</f>
        <v>0.57727112318086959</v>
      </c>
      <c r="E19" s="22">
        <f t="shared" si="6"/>
        <v>0.55437111551105556</v>
      </c>
      <c r="F19" s="22">
        <f t="shared" si="6"/>
        <v>0.55367996680572362</v>
      </c>
      <c r="G19" s="22">
        <f t="shared" si="6"/>
        <v>0.52271090782262886</v>
      </c>
      <c r="H19" s="22">
        <f t="shared" si="6"/>
        <v>0.4629355150270878</v>
      </c>
      <c r="I19" s="22">
        <f t="shared" si="6"/>
        <v>0.5085228106335512</v>
      </c>
      <c r="J19" s="22">
        <f t="shared" si="6"/>
        <v>0.62491156740562803</v>
      </c>
      <c r="K19" s="22">
        <f t="shared" si="6"/>
        <v>0.67180356105786265</v>
      </c>
      <c r="L19" s="22">
        <f t="shared" si="6"/>
        <v>0.68418239546670423</v>
      </c>
      <c r="M19" s="21"/>
      <c r="N19" s="22">
        <f t="shared" si="4"/>
        <v>0.57669901567347526</v>
      </c>
      <c r="O19" s="22">
        <f t="shared" si="5"/>
        <v>0.56582111934596258</v>
      </c>
    </row>
    <row r="21" spans="2:15" x14ac:dyDescent="0.35">
      <c r="B21" s="18" t="s">
        <v>133</v>
      </c>
      <c r="C21" s="20">
        <f>IFERROR((HistoricalFS!C17-HistoricalFS!C23)/SUM(HistoricalFS!C47:C49),0)</f>
        <v>4.5774522482322687E-2</v>
      </c>
      <c r="D21" s="20">
        <f>IFERROR((HistoricalFS!D17-HistoricalFS!D23)/SUM(HistoricalFS!D47:D49),0)</f>
        <v>4.004329785080836E-2</v>
      </c>
      <c r="E21" s="20">
        <f>IFERROR((HistoricalFS!E17-HistoricalFS!E23)/SUM(HistoricalFS!E47:E49),0)</f>
        <v>3.8825194290633816E-2</v>
      </c>
      <c r="F21" s="20">
        <f>IFERROR((HistoricalFS!F17-HistoricalFS!F23)/SUM(HistoricalFS!F47:F49),0)</f>
        <v>3.9006421342073612E-2</v>
      </c>
      <c r="G21" s="20">
        <f>IFERROR((HistoricalFS!G17-HistoricalFS!G23)/SUM(HistoricalFS!G47:G49),0)</f>
        <v>3.3943044045582085E-2</v>
      </c>
      <c r="H21" s="20">
        <f>IFERROR((HistoricalFS!H17-HistoricalFS!H23)/SUM(HistoricalFS!H47:H49),0)</f>
        <v>2.7454221093889408E-2</v>
      </c>
      <c r="I21" s="20">
        <f>IFERROR((HistoricalFS!I17-HistoricalFS!I23)/SUM(HistoricalFS!I47:I49),0)</f>
        <v>3.3023297194329504E-2</v>
      </c>
      <c r="J21" s="20">
        <f>IFERROR((HistoricalFS!J17-HistoricalFS!J23)/SUM(HistoricalFS!J47:J49),0)</f>
        <v>4.5085141308195582E-2</v>
      </c>
      <c r="K21" s="20">
        <f>IFERROR((HistoricalFS!K17-HistoricalFS!K23)/SUM(HistoricalFS!K47:K49),0)</f>
        <v>4.9023874265695676E-2</v>
      </c>
      <c r="L21" s="20">
        <f>IFERROR((HistoricalFS!L17-HistoricalFS!L23)/SUM(HistoricalFS!L47:L49),0)</f>
        <v>4.8386529683192556E-2</v>
      </c>
      <c r="M21" s="18"/>
      <c r="N21" s="20">
        <f t="shared" ref="N21:N25" si="7">IFERROR(AVERAGE(C21:L21),0)</f>
        <v>4.0056554355672326E-2</v>
      </c>
      <c r="O21" s="20">
        <f t="shared" ref="O21:O25" si="8">IFERROR(MEDIAN(C21:L21),0)</f>
        <v>3.9524859596440989E-2</v>
      </c>
    </row>
    <row r="22" spans="2:15" x14ac:dyDescent="0.35">
      <c r="B22" t="s">
        <v>134</v>
      </c>
      <c r="C22" s="15">
        <f>IFERROR(HistoricalFS!C43,0)</f>
        <v>1</v>
      </c>
      <c r="D22" s="15">
        <f>IFERROR(HistoricalFS!D43,0)</f>
        <v>1</v>
      </c>
      <c r="E22" s="15">
        <f>IFERROR(HistoricalFS!E43,0)</f>
        <v>1</v>
      </c>
      <c r="F22" s="15">
        <f>IFERROR(HistoricalFS!F43,0)</f>
        <v>1</v>
      </c>
      <c r="G22" s="15">
        <f>IFERROR(HistoricalFS!G43,0)</f>
        <v>1</v>
      </c>
      <c r="H22" s="15">
        <f>IFERROR(HistoricalFS!H43,0)</f>
        <v>1</v>
      </c>
      <c r="I22" s="15">
        <f>IFERROR(HistoricalFS!I43,0)</f>
        <v>1</v>
      </c>
      <c r="J22" s="15">
        <f>IFERROR(HistoricalFS!J43,0)</f>
        <v>1</v>
      </c>
      <c r="K22" s="15">
        <f>IFERROR(HistoricalFS!K43,0)</f>
        <v>1</v>
      </c>
      <c r="L22" s="15">
        <f>IFERROR(HistoricalFS!L43,0)</f>
        <v>1</v>
      </c>
      <c r="N22" s="15">
        <f t="shared" si="7"/>
        <v>1</v>
      </c>
      <c r="O22" s="15">
        <f t="shared" si="8"/>
        <v>1</v>
      </c>
    </row>
    <row r="23" spans="2:15" x14ac:dyDescent="0.35">
      <c r="B23" t="s">
        <v>135</v>
      </c>
      <c r="C23" s="15">
        <f>IFERROR(HistoricalFS!C32/SUM(HistoricalFS!C47:C48),0)</f>
        <v>-4.6432111342079606E-2</v>
      </c>
      <c r="D23" s="15">
        <f>IFERROR(HistoricalFS!D32/SUM(HistoricalFS!D47:D48),0)</f>
        <v>-6.1642686466361472E-2</v>
      </c>
      <c r="E23" s="15">
        <f>IFERROR(HistoricalFS!E32/SUM(HistoricalFS!E47:E48),0)</f>
        <v>-7.965880583055128E-2</v>
      </c>
      <c r="F23" s="15">
        <f>IFERROR(HistoricalFS!F32/SUM(HistoricalFS!F47:F48),0)</f>
        <v>-0.11276648638107357</v>
      </c>
      <c r="G23" s="15">
        <f>IFERROR(HistoricalFS!G32/SUM(HistoricalFS!G47:G48),0)</f>
        <v>-7.8454926964243346E-2</v>
      </c>
      <c r="H23" s="15">
        <f>IFERROR(HistoricalFS!H32/SUM(HistoricalFS!H47:H48),0)</f>
        <v>-7.5320903907796527E-2</v>
      </c>
      <c r="I23" s="15">
        <f>IFERROR(HistoricalFS!I32/SUM(HistoricalFS!I47:I48),0)</f>
        <v>-4.997331680766403E-2</v>
      </c>
      <c r="J23" s="15">
        <f>IFERROR(HistoricalFS!J32/SUM(HistoricalFS!J47:J48),0)</f>
        <v>-7.5155772288632424E-3</v>
      </c>
      <c r="K23" s="15">
        <f>IFERROR(HistoricalFS!K32/SUM(HistoricalFS!K47:K48),0)</f>
        <v>1.3751642885179721E-2</v>
      </c>
      <c r="L23" s="15">
        <f>IFERROR(HistoricalFS!L32/SUM(HistoricalFS!L47:L48),0)</f>
        <v>1.7470385873171856E-2</v>
      </c>
      <c r="N23" s="15">
        <f t="shared" si="7"/>
        <v>-4.8054278617028143E-2</v>
      </c>
      <c r="O23" s="15">
        <f t="shared" si="8"/>
        <v>-5.5808001637012751E-2</v>
      </c>
    </row>
    <row r="24" spans="2:15" x14ac:dyDescent="0.35">
      <c r="B24" t="s">
        <v>136</v>
      </c>
      <c r="C24" s="15">
        <f>IFERROR(C22*C23,0)</f>
        <v>-4.6432111342079606E-2</v>
      </c>
      <c r="D24" s="15">
        <f t="shared" ref="D24:L24" si="9">IFERROR(D22*D23,0)</f>
        <v>-6.1642686466361472E-2</v>
      </c>
      <c r="E24" s="15">
        <f t="shared" si="9"/>
        <v>-7.965880583055128E-2</v>
      </c>
      <c r="F24" s="15">
        <f t="shared" si="9"/>
        <v>-0.11276648638107357</v>
      </c>
      <c r="G24" s="15">
        <f t="shared" si="9"/>
        <v>-7.8454926964243346E-2</v>
      </c>
      <c r="H24" s="15">
        <f t="shared" si="9"/>
        <v>-7.5320903907796527E-2</v>
      </c>
      <c r="I24" s="15">
        <f t="shared" si="9"/>
        <v>-4.997331680766403E-2</v>
      </c>
      <c r="J24" s="15">
        <f t="shared" si="9"/>
        <v>-7.5155772288632424E-3</v>
      </c>
      <c r="K24" s="15">
        <f t="shared" si="9"/>
        <v>1.3751642885179721E-2</v>
      </c>
      <c r="L24" s="15">
        <f t="shared" si="9"/>
        <v>1.7470385873171856E-2</v>
      </c>
      <c r="N24" s="15">
        <f t="shared" si="7"/>
        <v>-4.8054278617028143E-2</v>
      </c>
      <c r="O24" s="15">
        <f t="shared" si="8"/>
        <v>-5.5808001637012751E-2</v>
      </c>
    </row>
    <row r="25" spans="2:15" x14ac:dyDescent="0.35">
      <c r="B25" s="21" t="s">
        <v>137</v>
      </c>
      <c r="C25" s="23">
        <f>IFERROR((HistoricalFS!C17-HistoricalFS!C23)/HistoricalFS!C20,0)</f>
        <v>0.89330631522311965</v>
      </c>
      <c r="D25" s="23">
        <f>IFERROR((HistoricalFS!D17-HistoricalFS!D23)/HistoricalFS!D20,0)</f>
        <v>0.91050825340420671</v>
      </c>
      <c r="E25" s="23">
        <f>IFERROR((HistoricalFS!E17-HistoricalFS!E23)/HistoricalFS!E20,0)</f>
        <v>0.8740197669878973</v>
      </c>
      <c r="F25" s="23">
        <f>IFERROR((HistoricalFS!F17-HistoricalFS!F23)/HistoricalFS!F20,0)</f>
        <v>0.85881148120204276</v>
      </c>
      <c r="G25" s="23">
        <f>IFERROR((HistoricalFS!G17-HistoricalFS!G23)/HistoricalFS!G20,0)</f>
        <v>0.87215301124630951</v>
      </c>
      <c r="H25" s="23">
        <f>IFERROR((HistoricalFS!H17-HistoricalFS!H23)/HistoricalFS!H20,0)</f>
        <v>0.81353141204514401</v>
      </c>
      <c r="I25" s="23">
        <f>IFERROR((HistoricalFS!I17-HistoricalFS!I23)/HistoricalFS!I20,0)</f>
        <v>0.92550518280928051</v>
      </c>
      <c r="J25" s="23">
        <f>IFERROR((HistoricalFS!J17-HistoricalFS!J23)/HistoricalFS!J20,0)</f>
        <v>1.0753043527734043</v>
      </c>
      <c r="K25" s="23">
        <f>IFERROR((HistoricalFS!K17-HistoricalFS!K23)/HistoricalFS!K20,0)</f>
        <v>1.1317554733376327</v>
      </c>
      <c r="L25" s="23">
        <f>IFERROR((HistoricalFS!L17-HistoricalFS!L23)/HistoricalFS!L20,0)</f>
        <v>1.1392855609928889</v>
      </c>
      <c r="M25" s="21"/>
      <c r="N25" s="23">
        <f t="shared" si="7"/>
        <v>0.94941808100219272</v>
      </c>
      <c r="O25" s="23">
        <f t="shared" si="8"/>
        <v>0.90190728431366318</v>
      </c>
    </row>
    <row r="27" spans="2:15" x14ac:dyDescent="0.35">
      <c r="B27" s="18" t="s">
        <v>138</v>
      </c>
      <c r="C27" s="24">
        <f>IFERROR(HistoricalFS!C5/HistoricalFS!C59,0)</f>
        <v>0</v>
      </c>
      <c r="D27" s="24">
        <f>IFERROR(HistoricalFS!D5/HistoricalFS!D59,0)</f>
        <v>0</v>
      </c>
      <c r="E27" s="24">
        <f>IFERROR(HistoricalFS!E5/HistoricalFS!E59,0)</f>
        <v>0</v>
      </c>
      <c r="F27" s="24">
        <f>IFERROR(HistoricalFS!F5/HistoricalFS!F59,0)</f>
        <v>0</v>
      </c>
      <c r="G27" s="24">
        <f>IFERROR(HistoricalFS!G5/HistoricalFS!G59,0)</f>
        <v>0</v>
      </c>
      <c r="H27" s="24">
        <f>IFERROR(HistoricalFS!H5/HistoricalFS!H59,0)</f>
        <v>0</v>
      </c>
      <c r="I27" s="24">
        <f>IFERROR(HistoricalFS!I5/HistoricalFS!I59,0)</f>
        <v>0</v>
      </c>
      <c r="J27" s="24">
        <f>IFERROR(HistoricalFS!J5/HistoricalFS!J59,0)</f>
        <v>0</v>
      </c>
      <c r="K27" s="24">
        <f>IFERROR(HistoricalFS!K5/HistoricalFS!K59,0)</f>
        <v>0</v>
      </c>
      <c r="L27" s="24">
        <f>IFERROR(HistoricalFS!L5/HistoricalFS!L59,0)</f>
        <v>0</v>
      </c>
      <c r="M27" s="18"/>
      <c r="N27" s="24">
        <f t="shared" ref="N27:N31" si="10">IFERROR(AVERAGE(C27:L27),0)</f>
        <v>0</v>
      </c>
      <c r="O27" s="24">
        <f t="shared" ref="O27:O31" si="11">IFERROR(MEDIAN(C27:L27),0)</f>
        <v>0</v>
      </c>
    </row>
    <row r="28" spans="2:15" x14ac:dyDescent="0.35">
      <c r="B28" t="s">
        <v>139</v>
      </c>
      <c r="C28" s="16">
        <f>IFERROR(HistoricalFS!C5/HistoricalFS!C50,0)</f>
        <v>2.6926487450202878</v>
      </c>
      <c r="D28" s="16">
        <f>IFERROR(HistoricalFS!D5/HistoricalFS!D50,0)</f>
        <v>2.7410870292873626</v>
      </c>
      <c r="E28" s="16">
        <f>IFERROR(HistoricalFS!E5/HistoricalFS!E50,0)</f>
        <v>2.9535944371219869</v>
      </c>
      <c r="F28" s="16">
        <f>IFERROR(HistoricalFS!F5/HistoricalFS!F50,0)</f>
        <v>3.3656849624213865</v>
      </c>
      <c r="G28" s="16">
        <f>IFERROR(HistoricalFS!G5/HistoricalFS!G50,0)</f>
        <v>1.6795735194139629</v>
      </c>
      <c r="H28" s="16">
        <f>IFERROR(HistoricalFS!H5/HistoricalFS!H50,0)</f>
        <v>2.1185567740424167</v>
      </c>
      <c r="I28" s="16">
        <f>IFERROR(HistoricalFS!I5/HistoricalFS!I50,0)</f>
        <v>2.1825240532847396</v>
      </c>
      <c r="J28" s="16">
        <f>IFERROR(HistoricalFS!J5/HistoricalFS!J50,0)</f>
        <v>2.2840338079686697</v>
      </c>
      <c r="K28" s="16">
        <f>IFERROR(HistoricalFS!K5/HistoricalFS!K50,0)</f>
        <v>2.3084378943012984</v>
      </c>
      <c r="L28" s="16">
        <f>IFERROR(HistoricalFS!L5/HistoricalFS!L50,0)</f>
        <v>1.8220056880920652</v>
      </c>
      <c r="N28" s="16">
        <f t="shared" si="10"/>
        <v>2.414814691095418</v>
      </c>
      <c r="O28" s="16">
        <f t="shared" si="11"/>
        <v>2.2962358511349841</v>
      </c>
    </row>
    <row r="29" spans="2:15" x14ac:dyDescent="0.35">
      <c r="B29" t="s">
        <v>140</v>
      </c>
      <c r="C29" s="16">
        <f>IFERROR(HistoricalFS!C5/HistoricalFS!C60,0)</f>
        <v>0</v>
      </c>
      <c r="D29" s="16">
        <f>IFERROR(HistoricalFS!D5/HistoricalFS!D60,0)</f>
        <v>0</v>
      </c>
      <c r="E29" s="16">
        <f>IFERROR(HistoricalFS!E5/HistoricalFS!E60,0)</f>
        <v>0</v>
      </c>
      <c r="F29" s="16">
        <f>IFERROR(HistoricalFS!F5/HistoricalFS!F60,0)</f>
        <v>0</v>
      </c>
      <c r="G29" s="16">
        <f>IFERROR(HistoricalFS!G5/HistoricalFS!G60,0)</f>
        <v>0</v>
      </c>
      <c r="H29" s="16">
        <f>IFERROR(HistoricalFS!H5/HistoricalFS!H60,0)</f>
        <v>0</v>
      </c>
      <c r="I29" s="16">
        <f>IFERROR(HistoricalFS!I5/HistoricalFS!I60,0)</f>
        <v>0</v>
      </c>
      <c r="J29" s="16">
        <f>IFERROR(HistoricalFS!J5/HistoricalFS!J60,0)</f>
        <v>0</v>
      </c>
      <c r="K29" s="16">
        <f>IFERROR(HistoricalFS!K5/HistoricalFS!K60,0)</f>
        <v>0</v>
      </c>
      <c r="L29" s="16">
        <f>IFERROR(HistoricalFS!L5/HistoricalFS!L60,0)</f>
        <v>0</v>
      </c>
      <c r="N29" s="16">
        <f t="shared" si="10"/>
        <v>0</v>
      </c>
      <c r="O29" s="16">
        <f t="shared" si="11"/>
        <v>0</v>
      </c>
    </row>
    <row r="30" spans="2:15" x14ac:dyDescent="0.35">
      <c r="B30" t="s">
        <v>141</v>
      </c>
      <c r="C30" s="16">
        <f>IFERROR(HistoricalFS!C5/HistoricalFS!C53,0)</f>
        <v>4.6679375094585627</v>
      </c>
      <c r="D30" s="16">
        <f>IFERROR(HistoricalFS!D5/HistoricalFS!D53,0)</f>
        <v>5.0023294081199019</v>
      </c>
      <c r="E30" s="16">
        <f>IFERROR(HistoricalFS!E5/HistoricalFS!E53,0)</f>
        <v>4.8387858423956231</v>
      </c>
      <c r="F30" s="16">
        <f>IFERROR(HistoricalFS!F5/HistoricalFS!F53,0)</f>
        <v>5.4899007259574679</v>
      </c>
      <c r="G30" s="16">
        <f>IFERROR(HistoricalFS!G5/HistoricalFS!G53,0)</f>
        <v>5.2905021962546659</v>
      </c>
      <c r="H30" s="16">
        <f>IFERROR(HistoricalFS!H5/HistoricalFS!H53,0)</f>
        <v>5.0545297630033614</v>
      </c>
      <c r="I30" s="16">
        <f>IFERROR(HistoricalFS!I5/HistoricalFS!I53,0)</f>
        <v>6.0208201723861023</v>
      </c>
      <c r="J30" s="16">
        <f>IFERROR(HistoricalFS!J5/HistoricalFS!J53,0)</f>
        <v>7.3829312170154511</v>
      </c>
      <c r="K30" s="16">
        <f>IFERROR(HistoricalFS!K5/HistoricalFS!K53,0)</f>
        <v>7.0066373930190489</v>
      </c>
      <c r="L30" s="16">
        <f>IFERROR(HistoricalFS!L5/HistoricalFS!L53,0)</f>
        <v>7.7823483975097991</v>
      </c>
      <c r="N30" s="16">
        <f t="shared" si="10"/>
        <v>5.8536722625119983</v>
      </c>
      <c r="O30" s="16">
        <f t="shared" si="11"/>
        <v>5.3902014611060665</v>
      </c>
    </row>
    <row r="31" spans="2:15" x14ac:dyDescent="0.35">
      <c r="B31" s="21" t="s">
        <v>142</v>
      </c>
      <c r="C31" s="23">
        <f>IFERROR(HistoricalFS!C5/SUM(HistoricalFS!C47:C48),0)</f>
        <v>0.92000500176667899</v>
      </c>
      <c r="D31" s="23">
        <f>IFERROR(HistoricalFS!D5/SUM(HistoricalFS!D47:D48),0)</f>
        <v>0.91450267800276119</v>
      </c>
      <c r="E31" s="23">
        <f>IFERROR(HistoricalFS!E5/SUM(HistoricalFS!E47:E48),0)</f>
        <v>0.97294508979247774</v>
      </c>
      <c r="F31" s="23">
        <f>IFERROR(HistoricalFS!F5/SUM(HistoricalFS!F47:F48),0)</f>
        <v>0.93998923030027792</v>
      </c>
      <c r="G31" s="23">
        <f>IFERROR(HistoricalFS!G5/SUM(HistoricalFS!G47:G48),0)</f>
        <v>0.99113007808035214</v>
      </c>
      <c r="H31" s="23">
        <f>IFERROR(HistoricalFS!H5/SUM(HistoricalFS!H47:H48),0)</f>
        <v>0.86511168708440334</v>
      </c>
      <c r="I31" s="23">
        <f>IFERROR(HistoricalFS!I5/SUM(HistoricalFS!I47:I48),0)</f>
        <v>0.9086659171403052</v>
      </c>
      <c r="J31" s="23">
        <f>IFERROR(HistoricalFS!J5/SUM(HistoricalFS!J47:J48),0)</f>
        <v>0.92367456621110677</v>
      </c>
      <c r="K31" s="23">
        <f>IFERROR(HistoricalFS!K5/SUM(HistoricalFS!K47:K48),0)</f>
        <v>0.86752769534899354</v>
      </c>
      <c r="L31" s="23">
        <f>IFERROR(HistoricalFS!L5/SUM(HistoricalFS!L47:L48),0)</f>
        <v>0.84334908988781998</v>
      </c>
      <c r="M31" s="21"/>
      <c r="N31" s="23">
        <f t="shared" si="10"/>
        <v>0.91469010336151757</v>
      </c>
      <c r="O31" s="23">
        <f t="shared" si="11"/>
        <v>0.91725383988472009</v>
      </c>
    </row>
    <row r="33" spans="2:17" x14ac:dyDescent="0.35">
      <c r="B33" s="18" t="s">
        <v>143</v>
      </c>
      <c r="C33" s="25">
        <f t="shared" ref="C33:L33" si="12">IFERROR(365/C27,0)</f>
        <v>0</v>
      </c>
      <c r="D33" s="25">
        <f t="shared" si="12"/>
        <v>0</v>
      </c>
      <c r="E33" s="25">
        <f t="shared" si="12"/>
        <v>0</v>
      </c>
      <c r="F33" s="25">
        <f t="shared" si="12"/>
        <v>0</v>
      </c>
      <c r="G33" s="25">
        <f t="shared" si="12"/>
        <v>0</v>
      </c>
      <c r="H33" s="25">
        <f t="shared" si="12"/>
        <v>0</v>
      </c>
      <c r="I33" s="25">
        <f t="shared" si="12"/>
        <v>0</v>
      </c>
      <c r="J33" s="25">
        <f t="shared" si="12"/>
        <v>0</v>
      </c>
      <c r="K33" s="25">
        <f t="shared" si="12"/>
        <v>0</v>
      </c>
      <c r="L33" s="25">
        <f t="shared" si="12"/>
        <v>0</v>
      </c>
      <c r="M33" s="18"/>
      <c r="N33" s="25">
        <f t="shared" ref="N33:N36" si="13">IFERROR(AVERAGE(C33:L33),0)</f>
        <v>0</v>
      </c>
      <c r="O33" s="25">
        <f t="shared" ref="O33:O36" si="14">IFERROR(MEDIAN(C33:L33),0)</f>
        <v>0</v>
      </c>
      <c r="Q33" t="s">
        <v>147</v>
      </c>
    </row>
    <row r="34" spans="2:17" x14ac:dyDescent="0.35">
      <c r="B34" t="s">
        <v>144</v>
      </c>
      <c r="C34" s="17">
        <f t="shared" ref="C34:L34" si="15">IFERROR(365/C28,0)</f>
        <v>135.55425700252258</v>
      </c>
      <c r="D34" s="17">
        <f t="shared" si="15"/>
        <v>133.15885125139349</v>
      </c>
      <c r="E34" s="17">
        <f t="shared" si="15"/>
        <v>123.57823925063313</v>
      </c>
      <c r="F34" s="17">
        <f t="shared" si="15"/>
        <v>108.4474643572721</v>
      </c>
      <c r="G34" s="17">
        <f t="shared" si="15"/>
        <v>217.31707232878728</v>
      </c>
      <c r="H34" s="17">
        <f t="shared" si="15"/>
        <v>172.28709868536765</v>
      </c>
      <c r="I34" s="17">
        <f t="shared" si="15"/>
        <v>167.2375612313038</v>
      </c>
      <c r="J34" s="17">
        <f t="shared" si="15"/>
        <v>159.80499006913419</v>
      </c>
      <c r="K34" s="17">
        <f t="shared" si="15"/>
        <v>158.11558149389833</v>
      </c>
      <c r="L34" s="17">
        <f t="shared" si="15"/>
        <v>200.328683047205</v>
      </c>
      <c r="N34" s="17">
        <f t="shared" si="13"/>
        <v>157.58297987175177</v>
      </c>
      <c r="O34" s="17">
        <f t="shared" si="14"/>
        <v>158.96028578151626</v>
      </c>
      <c r="Q34" t="s">
        <v>148</v>
      </c>
    </row>
    <row r="35" spans="2:17" x14ac:dyDescent="0.35">
      <c r="B35" t="s">
        <v>145</v>
      </c>
      <c r="C35" s="17">
        <f t="shared" ref="C35:L35" si="16">IFERROR(365/C29,0)</f>
        <v>0</v>
      </c>
      <c r="D35" s="17">
        <f t="shared" si="16"/>
        <v>0</v>
      </c>
      <c r="E35" s="17">
        <f t="shared" si="16"/>
        <v>0</v>
      </c>
      <c r="F35" s="17">
        <f t="shared" si="16"/>
        <v>0</v>
      </c>
      <c r="G35" s="17">
        <f t="shared" si="16"/>
        <v>0</v>
      </c>
      <c r="H35" s="17">
        <f t="shared" si="16"/>
        <v>0</v>
      </c>
      <c r="I35" s="17">
        <f t="shared" si="16"/>
        <v>0</v>
      </c>
      <c r="J35" s="17">
        <f t="shared" si="16"/>
        <v>0</v>
      </c>
      <c r="K35" s="17">
        <f t="shared" si="16"/>
        <v>0</v>
      </c>
      <c r="L35" s="17">
        <f t="shared" si="16"/>
        <v>0</v>
      </c>
      <c r="N35" s="17">
        <f t="shared" si="13"/>
        <v>0</v>
      </c>
      <c r="O35" s="17">
        <f t="shared" si="14"/>
        <v>0</v>
      </c>
      <c r="Q35" t="s">
        <v>149</v>
      </c>
    </row>
    <row r="36" spans="2:17" x14ac:dyDescent="0.35">
      <c r="B36" s="21" t="s">
        <v>146</v>
      </c>
      <c r="C36" s="26">
        <f>IFERROR(SUM(C33,C35)-C34,0)</f>
        <v>-135.55425700252258</v>
      </c>
      <c r="D36" s="26">
        <f t="shared" ref="D36:L36" si="17">IFERROR(SUM(D33,D35)-D34,0)</f>
        <v>-133.15885125139349</v>
      </c>
      <c r="E36" s="26">
        <f t="shared" si="17"/>
        <v>-123.57823925063313</v>
      </c>
      <c r="F36" s="26">
        <f t="shared" si="17"/>
        <v>-108.4474643572721</v>
      </c>
      <c r="G36" s="26">
        <f t="shared" si="17"/>
        <v>-217.31707232878728</v>
      </c>
      <c r="H36" s="26">
        <f t="shared" si="17"/>
        <v>-172.28709868536765</v>
      </c>
      <c r="I36" s="26">
        <f t="shared" si="17"/>
        <v>-167.2375612313038</v>
      </c>
      <c r="J36" s="26">
        <f t="shared" si="17"/>
        <v>-159.80499006913419</v>
      </c>
      <c r="K36" s="26">
        <f t="shared" si="17"/>
        <v>-158.11558149389833</v>
      </c>
      <c r="L36" s="26">
        <f t="shared" si="17"/>
        <v>-200.328683047205</v>
      </c>
      <c r="M36" s="21"/>
      <c r="N36" s="26">
        <f t="shared" si="13"/>
        <v>-157.58297987175177</v>
      </c>
      <c r="O36" s="26">
        <f t="shared" si="14"/>
        <v>-158.96028578151626</v>
      </c>
      <c r="Q36" t="s">
        <v>150</v>
      </c>
    </row>
    <row r="38" spans="2:17" x14ac:dyDescent="0.35">
      <c r="B38" s="18" t="s">
        <v>151</v>
      </c>
      <c r="C38" s="20">
        <f>IFERROR(HistoricalFS!C78/HistoricalFS!C5,0)</f>
        <v>2.3628954525220056</v>
      </c>
      <c r="D38" s="20">
        <f>IFERROR(HistoricalFS!D78/HistoricalFS!D5,0)</f>
        <v>1.7645010435095576</v>
      </c>
      <c r="E38" s="20">
        <f>IFERROR(HistoricalFS!E78/HistoricalFS!E5,0)</f>
        <v>1.2437141787691206</v>
      </c>
      <c r="F38" s="20">
        <f>IFERROR(HistoricalFS!F78/HistoricalFS!F5,0)</f>
        <v>0.88275093826163675</v>
      </c>
      <c r="G38" s="20">
        <f>IFERROR(HistoricalFS!G78/HistoricalFS!G5,0)</f>
        <v>0.68101016465139685</v>
      </c>
      <c r="H38" s="20">
        <f>IFERROR(HistoricalFS!H78/HistoricalFS!H5,0)</f>
        <v>0.7457228934871134</v>
      </c>
      <c r="I38" s="20">
        <f>IFERROR(HistoricalFS!I78/HistoricalFS!I5,0)</f>
        <v>0.3174824764433426</v>
      </c>
      <c r="J38" s="20">
        <f>IFERROR(HistoricalFS!J78/HistoricalFS!J5,0)</f>
        <v>0.63590605021803337</v>
      </c>
      <c r="K38" s="20">
        <f>IFERROR(HistoricalFS!K78/HistoricalFS!K5,0)</f>
        <v>1.0947070274501232</v>
      </c>
      <c r="L38" s="20">
        <f>IFERROR(HistoricalFS!L78/HistoricalFS!L5,0)</f>
        <v>0.93478780322792299</v>
      </c>
      <c r="M38" s="18"/>
      <c r="N38" s="20">
        <f t="shared" ref="N38:N40" si="18">IFERROR(AVERAGE(C38:L38),0)</f>
        <v>1.0663478028540254</v>
      </c>
      <c r="O38" s="20">
        <f t="shared" ref="O38:O40" si="19">IFERROR(MEDIAN(C38:L38),0)</f>
        <v>0.90876937074477993</v>
      </c>
    </row>
    <row r="39" spans="2:17" x14ac:dyDescent="0.35">
      <c r="B39" t="s">
        <v>152</v>
      </c>
      <c r="C39" s="15">
        <f>IFERROR(HistoricalFS!C78/HistoricalFS!C64,0)</f>
        <v>0.17344489505712024</v>
      </c>
      <c r="D39" s="15">
        <f>IFERROR(HistoricalFS!D78/HistoricalFS!D64,0)</f>
        <v>0.11937636050016481</v>
      </c>
      <c r="E39" s="15">
        <f>IFERROR(HistoricalFS!E78/HistoricalFS!E64,0)</f>
        <v>8.5085582036453153E-2</v>
      </c>
      <c r="F39" s="15">
        <f>IFERROR(HistoricalFS!F78/HistoricalFS!F64,0)</f>
        <v>6.0914237190727721E-2</v>
      </c>
      <c r="G39" s="15">
        <f>IFERROR(HistoricalFS!G78/HistoricalFS!G64,0)</f>
        <v>4.2576343069567132E-2</v>
      </c>
      <c r="H39" s="15">
        <f>IFERROR(HistoricalFS!H78/HistoricalFS!H64,0)</f>
        <v>4.3020551228850151E-2</v>
      </c>
      <c r="I39" s="15">
        <f>IFERROR(HistoricalFS!I78/HistoricalFS!I64,0)</f>
        <v>2.0021476615442416E-2</v>
      </c>
      <c r="J39" s="15">
        <f>IFERROR(HistoricalFS!J78/HistoricalFS!J64,0)</f>
        <v>4.4473555037381644E-2</v>
      </c>
      <c r="K39" s="15">
        <f>IFERROR(HistoricalFS!K78/HistoricalFS!K64,0)</f>
        <v>7.7436728554478682E-2</v>
      </c>
      <c r="L39" s="15">
        <f>IFERROR(HistoricalFS!L78/HistoricalFS!L64,0)</f>
        <v>6.3639576870133163E-2</v>
      </c>
      <c r="N39" s="15">
        <f t="shared" si="18"/>
        <v>7.299893061603191E-2</v>
      </c>
      <c r="O39" s="15">
        <f t="shared" si="19"/>
        <v>6.2276907030430442E-2</v>
      </c>
    </row>
    <row r="40" spans="2:17" x14ac:dyDescent="0.35">
      <c r="B40" s="21" t="s">
        <v>153</v>
      </c>
      <c r="C40" s="22">
        <f>IFERROR(HistoricalFS!C78/HistoricalFS!C49,0)</f>
        <v>0.19423737345600919</v>
      </c>
      <c r="D40" s="22">
        <f>IFERROR(HistoricalFS!D78/HistoricalFS!D49,0)</f>
        <v>0.13244337234506953</v>
      </c>
      <c r="E40" s="22">
        <f>IFERROR(HistoricalFS!E78/HistoricalFS!E49,0)</f>
        <v>9.3859295799948964E-2</v>
      </c>
      <c r="F40" s="22">
        <f>IFERROR(HistoricalFS!F78/HistoricalFS!F49,0)</f>
        <v>6.7227797434518635E-2</v>
      </c>
      <c r="G40" s="22">
        <f>IFERROR(HistoricalFS!G78/HistoricalFS!G49,0)</f>
        <v>4.7322941736775245E-2</v>
      </c>
      <c r="H40" s="22">
        <f>IFERROR(HistoricalFS!H78/HistoricalFS!H49,0)</f>
        <v>4.7479618145989673E-2</v>
      </c>
      <c r="I40" s="22">
        <f>IFERROR(HistoricalFS!I78/HistoricalFS!I49,0)</f>
        <v>2.2204061732639745E-2</v>
      </c>
      <c r="J40" s="22">
        <f>IFERROR(HistoricalFS!J78/HistoricalFS!J49,0)</f>
        <v>4.9765436014647536E-2</v>
      </c>
      <c r="K40" s="22">
        <f>IFERROR(HistoricalFS!K78/HistoricalFS!K49,0)</f>
        <v>8.7221403612315881E-2</v>
      </c>
      <c r="L40" s="22">
        <f>IFERROR(HistoricalFS!L78/HistoricalFS!L49,0)</f>
        <v>7.2161057277161655E-2</v>
      </c>
      <c r="M40" s="21"/>
      <c r="N40" s="22">
        <f t="shared" si="18"/>
        <v>8.1392235755507608E-2</v>
      </c>
      <c r="O40" s="22">
        <f t="shared" si="19"/>
        <v>6.9694427355840138E-2</v>
      </c>
    </row>
  </sheetData>
  <mergeCells count="1">
    <mergeCell ref="B2:O2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00000000-0003-0000-0200-000000000000}">
          <x14:colorSeries theme="4" tint="-0.499984740745262"/>
          <x14:colorNegative theme="5"/>
          <x14:colorAxis rgb="FF000000"/>
          <x14:colorMarkers theme="1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  <x14:sparklineGroup displayEmptyCellsAs="gap" markers="1" xr2:uid="{00000000-0003-0000-0200-000001000000}">
          <x14:colorSeries theme="4" tint="-0.499984740745262"/>
          <x14:colorNegative theme="5"/>
          <x14:colorAxis rgb="FF000000"/>
          <x14:colorMarkers theme="1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Analysis'!C11:L11</xm:f>
              <xm:sqref>M11</xm:sqref>
            </x14:sparkline>
            <x14:sparkline>
              <xm:f>'Ratio Analysis'!C16:L16</xm:f>
              <xm:sqref>M16</xm:sqref>
            </x14:sparkline>
            <x14:sparkline>
              <xm:f>'Ratio Analysis'!C21:L21</xm:f>
              <xm:sqref>M21</xm:sqref>
            </x14:sparkline>
            <x14:sparkline>
              <xm:f>'Ratio Analysis'!C26:L26</xm:f>
              <xm:sqref>M26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Analysis'!C37:L37</xm:f>
              <xm:sqref>M37</xm:sqref>
            </x14:sparkline>
          </x14:sparklines>
        </x14:sparklineGroup>
        <x14:sparklineGroup displayEmptyCellsAs="gap" markers="1" xr2:uid="{00000000-0003-0000-0200-000002000000}">
          <x14:colorSeries theme="4" tint="-0.499984740745262"/>
          <x14:colorNegative theme="5"/>
          <x14:colorAxis rgb="FF000000"/>
          <x14:colorMarkers theme="1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markers="1" xr2:uid="{00000000-0003-0000-0200-000003000000}">
          <x14:colorSeries theme="4" tint="-0.499984740745262"/>
          <x14:colorNegative theme="5"/>
          <x14:colorAxis rgb="FF000000"/>
          <x14:colorMarkers theme="1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Analysis'!D5:L5</xm:f>
              <xm:sqref>M5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O28"/>
  <sheetViews>
    <sheetView showGridLines="0" topLeftCell="A5" workbookViewId="0">
      <selection activeCell="N7" sqref="N7"/>
    </sheetView>
  </sheetViews>
  <sheetFormatPr defaultRowHeight="14.5" x14ac:dyDescent="0.35"/>
  <cols>
    <col min="1" max="1" width="1.90625" customWidth="1"/>
    <col min="4" max="4" width="12.453125" customWidth="1"/>
    <col min="5" max="5" width="11.6328125" bestFit="1" customWidth="1"/>
    <col min="6" max="6" width="2.81640625" customWidth="1"/>
    <col min="7" max="7" width="10.90625" bestFit="1" customWidth="1"/>
    <col min="8" max="8" width="6.08984375" bestFit="1" customWidth="1"/>
    <col min="9" max="9" width="10.54296875" customWidth="1"/>
    <col min="10" max="10" width="11.6328125" bestFit="1" customWidth="1"/>
    <col min="11" max="11" width="2.81640625" customWidth="1"/>
    <col min="12" max="12" width="10.90625" bestFit="1" customWidth="1"/>
    <col min="13" max="13" width="6.08984375" bestFit="1" customWidth="1"/>
    <col min="14" max="14" width="8.6328125" bestFit="1" customWidth="1"/>
    <col min="15" max="15" width="11.6328125" bestFit="1" customWidth="1"/>
  </cols>
  <sheetData>
    <row r="4" spans="2:15" x14ac:dyDescent="0.35">
      <c r="B4" s="42" t="str">
        <f>'Data Sheet'!B1&amp;" - "&amp;'Data Sheet'!A17&amp;" Forecast"</f>
        <v>INDIAN BANK - Sales Forecast</v>
      </c>
      <c r="C4" s="42"/>
      <c r="D4" s="42"/>
      <c r="E4" s="42"/>
      <c r="G4" s="42" t="str">
        <f>'Data Sheet'!B1&amp;" - "&amp;HistoricalFS!B17&amp;" Forecast "</f>
        <v xml:space="preserve">INDIAN BANK - EBITDA Forecast </v>
      </c>
      <c r="H4" s="42"/>
      <c r="I4" s="42"/>
      <c r="J4" s="42"/>
      <c r="L4" s="43" t="str">
        <f>'Data Sheet'!B1&amp;" - "&amp;HistoricalFS!B26&amp;" Forecast "</f>
        <v xml:space="preserve">INDIAN BANK - Earning Before Tax Forecast </v>
      </c>
      <c r="M4" s="43"/>
      <c r="N4" s="43"/>
      <c r="O4" s="43"/>
    </row>
    <row r="5" spans="2:15" x14ac:dyDescent="0.35">
      <c r="B5" s="29" t="s">
        <v>157</v>
      </c>
      <c r="C5" s="30" t="s">
        <v>158</v>
      </c>
      <c r="D5" s="30" t="s">
        <v>33</v>
      </c>
      <c r="E5" s="31" t="s">
        <v>58</v>
      </c>
      <c r="G5" s="29" t="s">
        <v>157</v>
      </c>
      <c r="H5" s="30" t="s">
        <v>158</v>
      </c>
      <c r="I5" s="30" t="s">
        <v>33</v>
      </c>
      <c r="J5" s="31" t="s">
        <v>58</v>
      </c>
      <c r="L5" s="29" t="s">
        <v>157</v>
      </c>
      <c r="M5" s="30" t="s">
        <v>158</v>
      </c>
      <c r="N5" s="30" t="s">
        <v>33</v>
      </c>
      <c r="O5" s="31" t="s">
        <v>58</v>
      </c>
    </row>
    <row r="6" spans="2:15" x14ac:dyDescent="0.35">
      <c r="B6" s="28">
        <v>1</v>
      </c>
      <c r="C6" s="32">
        <f>'Data Sheet'!$B$16</f>
        <v>42825</v>
      </c>
      <c r="D6" s="33">
        <f t="array" ref="D6:D15">TRANSPOSE('Data Sheet'!B17:K17)</f>
        <v>16039.22</v>
      </c>
      <c r="G6" s="28">
        <v>1</v>
      </c>
      <c r="H6" s="32">
        <v>42460</v>
      </c>
      <c r="I6" s="33">
        <f t="array" ref="I6:I15">TRANSPOSE(HistoricalFS!C17:M17)</f>
        <v>9895.6499999999978</v>
      </c>
      <c r="L6" s="28">
        <v>1</v>
      </c>
      <c r="M6" s="32">
        <v>42460</v>
      </c>
      <c r="N6" s="33">
        <f t="array" ref="N6:N15">TRANSPOSE(HistoricalFS!C26:M26)</f>
        <v>-1162.0500000000011</v>
      </c>
    </row>
    <row r="7" spans="2:15" x14ac:dyDescent="0.35">
      <c r="B7" s="28">
        <v>2</v>
      </c>
      <c r="C7" s="32">
        <f>C6+365</f>
        <v>43190</v>
      </c>
      <c r="D7" s="33">
        <v>17115.32</v>
      </c>
      <c r="E7" s="34">
        <f>D7/D6-1</f>
        <v>6.7091791246706611E-2</v>
      </c>
      <c r="G7" s="28">
        <v>2</v>
      </c>
      <c r="H7" s="32">
        <v>42825</v>
      </c>
      <c r="I7" s="33">
        <v>10117.02</v>
      </c>
      <c r="J7" s="34">
        <f>I7/I6-1</f>
        <v>2.2370435494384111E-2</v>
      </c>
      <c r="L7" s="28">
        <v>2</v>
      </c>
      <c r="M7" s="32">
        <v>42825</v>
      </c>
      <c r="N7" s="33">
        <v>-971.10000000000036</v>
      </c>
      <c r="O7" s="34">
        <f>N7/N6-1</f>
        <v>-0.16432167290564137</v>
      </c>
    </row>
    <row r="8" spans="2:15" x14ac:dyDescent="0.35">
      <c r="B8" s="28">
        <v>3</v>
      </c>
      <c r="C8" s="32">
        <f t="shared" ref="C8:C22" si="0">C7+365</f>
        <v>43555</v>
      </c>
      <c r="D8" s="33">
        <v>19182.060000000001</v>
      </c>
      <c r="E8" s="34">
        <f t="shared" ref="E8:E22" si="1">D8/D7-1</f>
        <v>0.12075380419413717</v>
      </c>
      <c r="G8" s="28">
        <v>3</v>
      </c>
      <c r="H8" s="32">
        <v>43190</v>
      </c>
      <c r="I8" s="33">
        <v>10893.27</v>
      </c>
      <c r="J8" s="34">
        <f t="shared" ref="J8:J22" si="2">I8/I7-1</f>
        <v>7.6727139019197255E-2</v>
      </c>
      <c r="L8" s="28">
        <v>3</v>
      </c>
      <c r="M8" s="32">
        <v>43190</v>
      </c>
      <c r="N8" s="33">
        <v>-1532.7700000000004</v>
      </c>
      <c r="O8" s="34">
        <f t="shared" ref="O8:O22" si="3">N8/N7-1</f>
        <v>0.57838533621666133</v>
      </c>
    </row>
    <row r="9" spans="2:15" x14ac:dyDescent="0.35">
      <c r="B9" s="28">
        <v>4</v>
      </c>
      <c r="C9" s="32">
        <f t="shared" si="0"/>
        <v>43920</v>
      </c>
      <c r="D9" s="33">
        <v>21401.279999999999</v>
      </c>
      <c r="E9" s="34">
        <f t="shared" si="1"/>
        <v>0.11569247515647429</v>
      </c>
      <c r="G9" s="28">
        <v>4</v>
      </c>
      <c r="H9" s="32">
        <v>43555</v>
      </c>
      <c r="I9" s="33">
        <v>12163.469999999998</v>
      </c>
      <c r="J9" s="34">
        <f t="shared" si="2"/>
        <v>0.11660410510342589</v>
      </c>
      <c r="L9" s="28">
        <v>4</v>
      </c>
      <c r="M9" s="32">
        <v>43555</v>
      </c>
      <c r="N9" s="33">
        <v>-1948.0500000000029</v>
      </c>
      <c r="O9" s="34">
        <f t="shared" si="3"/>
        <v>0.27093432152247399</v>
      </c>
    </row>
    <row r="10" spans="2:15" x14ac:dyDescent="0.35">
      <c r="B10" s="28">
        <v>5</v>
      </c>
      <c r="C10" s="32">
        <f t="shared" si="0"/>
        <v>44285</v>
      </c>
      <c r="D10" s="33">
        <v>39108.080000000002</v>
      </c>
      <c r="E10" s="34">
        <f t="shared" si="1"/>
        <v>0.82737107313207447</v>
      </c>
      <c r="G10" s="28">
        <v>5</v>
      </c>
      <c r="H10" s="32">
        <v>43920</v>
      </c>
      <c r="I10" s="33">
        <v>21079.119999999999</v>
      </c>
      <c r="J10" s="34">
        <f t="shared" si="2"/>
        <v>0.73298573515616861</v>
      </c>
      <c r="L10" s="28">
        <v>5</v>
      </c>
      <c r="M10" s="32">
        <v>43920</v>
      </c>
      <c r="N10" s="33">
        <v>-2996.5800000000017</v>
      </c>
      <c r="O10" s="34">
        <f t="shared" si="3"/>
        <v>0.53824593824593681</v>
      </c>
    </row>
    <row r="11" spans="2:15" x14ac:dyDescent="0.35">
      <c r="B11" s="28">
        <v>6</v>
      </c>
      <c r="C11" s="32">
        <f t="shared" si="0"/>
        <v>44650</v>
      </c>
      <c r="D11" s="33">
        <v>38888.44</v>
      </c>
      <c r="E11" s="34">
        <f t="shared" si="1"/>
        <v>-5.6162307124256738E-3</v>
      </c>
      <c r="G11" s="28">
        <v>6</v>
      </c>
      <c r="H11" s="32">
        <v>44285</v>
      </c>
      <c r="I11" s="33">
        <v>18603.700000000004</v>
      </c>
      <c r="J11" s="34">
        <f t="shared" si="2"/>
        <v>-0.11743469366842618</v>
      </c>
      <c r="L11" s="28">
        <v>6</v>
      </c>
      <c r="M11" s="32">
        <v>44285</v>
      </c>
      <c r="N11" s="33">
        <v>-4126.4099999999962</v>
      </c>
      <c r="O11" s="34">
        <f t="shared" si="3"/>
        <v>0.37703982540095504</v>
      </c>
    </row>
    <row r="12" spans="2:15" x14ac:dyDescent="0.35">
      <c r="B12" s="28">
        <v>7</v>
      </c>
      <c r="C12" s="32">
        <f t="shared" si="0"/>
        <v>45015</v>
      </c>
      <c r="D12" s="33">
        <v>44985.16</v>
      </c>
      <c r="E12" s="34">
        <f t="shared" si="1"/>
        <v>0.15677460962692247</v>
      </c>
      <c r="G12" s="28">
        <v>7</v>
      </c>
      <c r="H12" s="32">
        <v>44650</v>
      </c>
      <c r="I12" s="33">
        <v>23408.370000000003</v>
      </c>
      <c r="J12" s="34">
        <f t="shared" si="2"/>
        <v>0.25826421625805596</v>
      </c>
      <c r="L12" s="28">
        <v>7</v>
      </c>
      <c r="M12" s="32">
        <v>44650</v>
      </c>
      <c r="N12" s="33">
        <v>-1841.3099999999977</v>
      </c>
      <c r="O12" s="34">
        <f t="shared" si="3"/>
        <v>-0.55377434622347288</v>
      </c>
    </row>
    <row r="13" spans="2:15" x14ac:dyDescent="0.35">
      <c r="B13" s="28">
        <v>8</v>
      </c>
      <c r="C13" s="32">
        <f t="shared" si="0"/>
        <v>45380</v>
      </c>
      <c r="D13" s="33">
        <v>55649.73</v>
      </c>
      <c r="E13" s="34">
        <f t="shared" si="1"/>
        <v>0.23706862440858267</v>
      </c>
      <c r="G13" s="28">
        <v>8</v>
      </c>
      <c r="H13" s="32">
        <v>45015</v>
      </c>
      <c r="I13" s="33">
        <v>35307.300000000003</v>
      </c>
      <c r="J13" s="34">
        <f t="shared" si="2"/>
        <v>0.5083194600905574</v>
      </c>
      <c r="L13" s="28">
        <v>8</v>
      </c>
      <c r="M13" s="32">
        <v>45015</v>
      </c>
      <c r="N13" s="33">
        <v>2435.4000000000015</v>
      </c>
      <c r="O13" s="34">
        <f t="shared" si="3"/>
        <v>-2.322645290581165</v>
      </c>
    </row>
    <row r="14" spans="2:15" x14ac:dyDescent="0.35">
      <c r="B14" s="28">
        <v>9</v>
      </c>
      <c r="C14" s="32">
        <f t="shared" si="0"/>
        <v>45745</v>
      </c>
      <c r="D14" s="33">
        <v>62039.43</v>
      </c>
      <c r="E14" s="34">
        <f t="shared" si="1"/>
        <v>0.11481996408607897</v>
      </c>
      <c r="G14" s="28">
        <v>9</v>
      </c>
      <c r="H14" s="32">
        <v>45380</v>
      </c>
      <c r="I14" s="33">
        <v>42221.25</v>
      </c>
      <c r="J14" s="34">
        <f t="shared" si="2"/>
        <v>0.19582211044174991</v>
      </c>
      <c r="L14" s="28">
        <v>9</v>
      </c>
      <c r="M14" s="32">
        <v>45380</v>
      </c>
      <c r="N14" s="33">
        <v>4852.0599999999977</v>
      </c>
      <c r="O14" s="34">
        <f t="shared" si="3"/>
        <v>0.99230516547589498</v>
      </c>
    </row>
    <row r="15" spans="2:15" x14ac:dyDescent="0.35">
      <c r="B15" s="28">
        <v>10</v>
      </c>
      <c r="C15" s="32">
        <f t="shared" si="0"/>
        <v>46110</v>
      </c>
      <c r="D15" s="33">
        <v>67504.09</v>
      </c>
      <c r="E15" s="34">
        <f t="shared" si="1"/>
        <v>8.8083659053604935E-2</v>
      </c>
      <c r="G15" s="28">
        <v>10</v>
      </c>
      <c r="H15" s="32">
        <v>45745</v>
      </c>
      <c r="I15" s="33">
        <v>46793.969999999994</v>
      </c>
      <c r="J15" s="34">
        <f t="shared" si="2"/>
        <v>0.10830375699440431</v>
      </c>
      <c r="L15" s="28">
        <v>10</v>
      </c>
      <c r="M15" s="32">
        <v>45745</v>
      </c>
      <c r="N15" s="33">
        <v>5646.4499999999898</v>
      </c>
      <c r="O15" s="34">
        <f t="shared" si="3"/>
        <v>0.16372221283331045</v>
      </c>
    </row>
    <row r="16" spans="2:15" x14ac:dyDescent="0.35">
      <c r="B16" s="35">
        <v>11</v>
      </c>
      <c r="C16" s="36">
        <f t="shared" si="0"/>
        <v>46475</v>
      </c>
      <c r="D16" s="37">
        <f>FORECAST(B16,$D$6:$D$15,$B$6:$B$15)</f>
        <v>72542.046000000002</v>
      </c>
      <c r="E16" s="38">
        <f t="shared" si="1"/>
        <v>7.4631863047113223E-2</v>
      </c>
      <c r="G16" s="35">
        <v>11</v>
      </c>
      <c r="H16" s="36">
        <v>46110</v>
      </c>
      <c r="I16" s="37">
        <f t="shared" ref="I16:I22" si="4">FORECAST(G16,$I$6:$I$15,$G$6:$G$15)</f>
        <v>46719.775999999998</v>
      </c>
      <c r="J16" s="38">
        <f t="shared" si="2"/>
        <v>-1.585546171867791E-3</v>
      </c>
      <c r="L16" s="35">
        <v>11</v>
      </c>
      <c r="M16" s="36">
        <v>46110</v>
      </c>
      <c r="N16" s="37">
        <f>FORECAST(L16,$N$6:$N$15,$L$6:$L$15)</f>
        <v>3871.2259999999978</v>
      </c>
      <c r="O16" s="38">
        <f t="shared" si="3"/>
        <v>-0.31439647920374658</v>
      </c>
    </row>
    <row r="17" spans="2:15" x14ac:dyDescent="0.35">
      <c r="B17" s="35">
        <v>12</v>
      </c>
      <c r="C17" s="36">
        <f t="shared" si="0"/>
        <v>46840</v>
      </c>
      <c r="D17" s="37">
        <f t="shared" ref="D17:D22" si="5">FORECAST(B17,$D$6:$D$15,$B$6:$B$15)</f>
        <v>78787.639636363645</v>
      </c>
      <c r="E17" s="38">
        <f t="shared" si="1"/>
        <v>8.6096188083303327E-2</v>
      </c>
      <c r="G17" s="35">
        <v>12</v>
      </c>
      <c r="H17" s="36">
        <v>46475</v>
      </c>
      <c r="I17" s="37">
        <f t="shared" si="4"/>
        <v>51023.678545454546</v>
      </c>
      <c r="J17" s="38">
        <f t="shared" si="2"/>
        <v>9.2121643422574451E-2</v>
      </c>
      <c r="L17" s="35">
        <v>12</v>
      </c>
      <c r="M17" s="36">
        <v>46475</v>
      </c>
      <c r="N17" s="37">
        <f t="shared" ref="N17:N22" si="6">FORECAST(L17,$N$6:$N$15,$L$6:$L$15)</f>
        <v>4604.9827272727252</v>
      </c>
      <c r="O17" s="38">
        <f t="shared" si="3"/>
        <v>0.18954117565668538</v>
      </c>
    </row>
    <row r="18" spans="2:15" x14ac:dyDescent="0.35">
      <c r="B18" s="35">
        <v>13</v>
      </c>
      <c r="C18" s="36">
        <f t="shared" si="0"/>
        <v>47205</v>
      </c>
      <c r="D18" s="37">
        <f t="shared" si="5"/>
        <v>85033.233272727273</v>
      </c>
      <c r="E18" s="38">
        <f t="shared" si="1"/>
        <v>7.9271236772538556E-2</v>
      </c>
      <c r="G18" s="35">
        <v>13</v>
      </c>
      <c r="H18" s="36">
        <v>46840</v>
      </c>
      <c r="I18" s="37">
        <f t="shared" si="4"/>
        <v>55327.581090909094</v>
      </c>
      <c r="J18" s="38">
        <f t="shared" si="2"/>
        <v>8.4351083029429397E-2</v>
      </c>
      <c r="L18" s="35">
        <v>13</v>
      </c>
      <c r="M18" s="36">
        <v>46840</v>
      </c>
      <c r="N18" s="37">
        <f t="shared" si="6"/>
        <v>5338.7394545454517</v>
      </c>
      <c r="O18" s="38">
        <f t="shared" si="3"/>
        <v>0.15933973496297771</v>
      </c>
    </row>
    <row r="19" spans="2:15" x14ac:dyDescent="0.35">
      <c r="B19" s="35">
        <v>14</v>
      </c>
      <c r="C19" s="36">
        <f t="shared" si="0"/>
        <v>47570</v>
      </c>
      <c r="D19" s="37">
        <f t="shared" si="5"/>
        <v>91278.826909090916</v>
      </c>
      <c r="E19" s="38">
        <f t="shared" si="1"/>
        <v>7.3448855182680628E-2</v>
      </c>
      <c r="G19" s="35">
        <v>14</v>
      </c>
      <c r="H19" s="36">
        <v>47205</v>
      </c>
      <c r="I19" s="37">
        <f t="shared" si="4"/>
        <v>59631.483636363642</v>
      </c>
      <c r="J19" s="38">
        <f t="shared" si="2"/>
        <v>7.7789457998945988E-2</v>
      </c>
      <c r="L19" s="35">
        <v>14</v>
      </c>
      <c r="M19" s="36">
        <v>47205</v>
      </c>
      <c r="N19" s="37">
        <f t="shared" si="6"/>
        <v>6072.4961818181782</v>
      </c>
      <c r="O19" s="38">
        <f t="shared" si="3"/>
        <v>0.13744007054848861</v>
      </c>
    </row>
    <row r="20" spans="2:15" x14ac:dyDescent="0.35">
      <c r="B20" s="35">
        <v>15</v>
      </c>
      <c r="C20" s="36">
        <f t="shared" si="0"/>
        <v>47935</v>
      </c>
      <c r="D20" s="37">
        <f t="shared" si="5"/>
        <v>97524.420545454544</v>
      </c>
      <c r="E20" s="38">
        <f t="shared" si="1"/>
        <v>6.8423246089522216E-2</v>
      </c>
      <c r="G20" s="35">
        <v>15</v>
      </c>
      <c r="H20" s="36">
        <v>47570</v>
      </c>
      <c r="I20" s="37">
        <f t="shared" si="4"/>
        <v>63935.386181818176</v>
      </c>
      <c r="J20" s="38">
        <f t="shared" si="2"/>
        <v>7.2175003588708098E-2</v>
      </c>
      <c r="L20" s="35">
        <v>15</v>
      </c>
      <c r="M20" s="36">
        <v>47570</v>
      </c>
      <c r="N20" s="37">
        <f t="shared" si="6"/>
        <v>6806.2529090909065</v>
      </c>
      <c r="O20" s="38">
        <f t="shared" si="3"/>
        <v>0.12083280175122857</v>
      </c>
    </row>
    <row r="21" spans="2:15" x14ac:dyDescent="0.35">
      <c r="B21" s="35">
        <v>16</v>
      </c>
      <c r="C21" s="36">
        <f t="shared" si="0"/>
        <v>48300</v>
      </c>
      <c r="D21" s="37">
        <f t="shared" si="5"/>
        <v>103770.01418181819</v>
      </c>
      <c r="E21" s="38">
        <f t="shared" si="1"/>
        <v>6.4041330380965267E-2</v>
      </c>
      <c r="G21" s="35">
        <v>16</v>
      </c>
      <c r="H21" s="36">
        <v>47935</v>
      </c>
      <c r="I21" s="37">
        <f t="shared" si="4"/>
        <v>68239.288727272724</v>
      </c>
      <c r="J21" s="38">
        <f t="shared" si="2"/>
        <v>6.7316439337915313E-2</v>
      </c>
      <c r="L21" s="35">
        <v>16</v>
      </c>
      <c r="M21" s="36">
        <v>47935</v>
      </c>
      <c r="N21" s="37">
        <f t="shared" si="6"/>
        <v>7540.009636363633</v>
      </c>
      <c r="O21" s="38">
        <f t="shared" si="3"/>
        <v>0.10780626830552675</v>
      </c>
    </row>
    <row r="22" spans="2:15" x14ac:dyDescent="0.35">
      <c r="B22" s="35">
        <v>17</v>
      </c>
      <c r="C22" s="36">
        <f t="shared" si="0"/>
        <v>48665</v>
      </c>
      <c r="D22" s="37">
        <f t="shared" si="5"/>
        <v>110015.60781818183</v>
      </c>
      <c r="E22" s="38">
        <f t="shared" si="1"/>
        <v>6.0186882362958549E-2</v>
      </c>
      <c r="G22" s="35">
        <v>17</v>
      </c>
      <c r="H22" s="36">
        <v>48300</v>
      </c>
      <c r="I22" s="37">
        <f t="shared" si="4"/>
        <v>72543.191272727272</v>
      </c>
      <c r="J22" s="38">
        <f t="shared" si="2"/>
        <v>6.3070741587821333E-2</v>
      </c>
      <c r="L22" s="35">
        <v>17</v>
      </c>
      <c r="M22" s="36">
        <v>48300</v>
      </c>
      <c r="N22" s="37">
        <f t="shared" si="6"/>
        <v>8273.7663636363595</v>
      </c>
      <c r="O22" s="38">
        <f t="shared" si="3"/>
        <v>9.7315091446832591E-2</v>
      </c>
    </row>
    <row r="23" spans="2:15" x14ac:dyDescent="0.35">
      <c r="G23" s="28"/>
      <c r="H23" s="39"/>
      <c r="I23" s="33"/>
      <c r="J23" s="40"/>
    </row>
    <row r="24" spans="2:15" x14ac:dyDescent="0.35">
      <c r="G24" s="28"/>
      <c r="H24" s="39"/>
      <c r="I24" s="33"/>
      <c r="J24" s="40"/>
    </row>
    <row r="25" spans="2:15" x14ac:dyDescent="0.35">
      <c r="G25" s="28"/>
      <c r="H25" s="39"/>
      <c r="I25" s="33"/>
      <c r="J25" s="40"/>
    </row>
    <row r="26" spans="2:15" x14ac:dyDescent="0.35">
      <c r="G26" s="28"/>
      <c r="H26" s="39"/>
      <c r="I26" s="33"/>
      <c r="J26" s="40"/>
    </row>
    <row r="27" spans="2:15" x14ac:dyDescent="0.35">
      <c r="G27" s="28"/>
      <c r="H27" s="39"/>
      <c r="I27" s="33"/>
      <c r="J27" s="40"/>
    </row>
    <row r="28" spans="2:15" x14ac:dyDescent="0.35">
      <c r="G28" s="28"/>
      <c r="H28" s="39"/>
      <c r="I28" s="33"/>
      <c r="J28" s="40"/>
    </row>
  </sheetData>
  <mergeCells count="3">
    <mergeCell ref="B4:E4"/>
    <mergeCell ref="G4:J4"/>
    <mergeCell ref="L4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"/>
  <sheetViews>
    <sheetView workbookViewId="0">
      <selection activeCell="F32" sqref="F32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5F1B-D7EB-498A-B8D9-7EDA6E915F31}">
  <dimension ref="A1:K93"/>
  <sheetViews>
    <sheetView tabSelected="1" zoomScale="85" zoomScaleNormal="85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D8" sqref="D8"/>
    </sheetView>
  </sheetViews>
  <sheetFormatPr defaultColWidth="8.81640625" defaultRowHeight="14.5" x14ac:dyDescent="0.35"/>
  <cols>
    <col min="1" max="1" width="27.6328125" style="46" bestFit="1" customWidth="1"/>
    <col min="2" max="11" width="13.453125" style="46" bestFit="1" customWidth="1"/>
    <col min="12" max="16384" width="8.81640625" style="46"/>
  </cols>
  <sheetData>
    <row r="1" spans="1:11" s="48" customFormat="1" x14ac:dyDescent="0.35">
      <c r="A1" s="48" t="s">
        <v>53</v>
      </c>
      <c r="B1" s="48" t="s">
        <v>52</v>
      </c>
      <c r="E1" s="44" t="str">
        <f>IF(B2&lt;&gt;B3, "A NEW VERSION OF THE WORKSHEET IS AVAILABLE", "")</f>
        <v/>
      </c>
      <c r="F1" s="44"/>
      <c r="G1" s="44"/>
      <c r="H1" s="44"/>
      <c r="I1" s="44"/>
      <c r="J1" s="44"/>
      <c r="K1" s="44"/>
    </row>
    <row r="2" spans="1:11" x14ac:dyDescent="0.35">
      <c r="A2" s="48" t="s">
        <v>51</v>
      </c>
      <c r="B2" s="46">
        <v>2.1</v>
      </c>
      <c r="E2" s="45" t="s">
        <v>50</v>
      </c>
      <c r="F2" s="45"/>
      <c r="G2" s="45"/>
      <c r="H2" s="45"/>
      <c r="I2" s="45"/>
      <c r="J2" s="45"/>
      <c r="K2" s="45"/>
    </row>
    <row r="3" spans="1:11" x14ac:dyDescent="0.35">
      <c r="A3" s="48" t="s">
        <v>49</v>
      </c>
      <c r="B3" s="46">
        <v>2.1</v>
      </c>
    </row>
    <row r="4" spans="1:11" x14ac:dyDescent="0.35">
      <c r="A4" s="48"/>
      <c r="B4" s="46" t="str">
        <f>'Data Sheet'!B1&amp;" -"</f>
        <v>INDIAN BANK -</v>
      </c>
    </row>
    <row r="5" spans="1:11" x14ac:dyDescent="0.35">
      <c r="A5" s="48" t="s">
        <v>48</v>
      </c>
    </row>
    <row r="6" spans="1:11" x14ac:dyDescent="0.35">
      <c r="A6" s="46" t="s">
        <v>47</v>
      </c>
      <c r="B6" s="46">
        <f>IF(B9&gt;0, B9/B8, 0)</f>
        <v>134.69635377165861</v>
      </c>
    </row>
    <row r="7" spans="1:11" x14ac:dyDescent="0.35">
      <c r="A7" s="46" t="s">
        <v>46</v>
      </c>
      <c r="B7" s="49">
        <v>10</v>
      </c>
    </row>
    <row r="8" spans="1:11" x14ac:dyDescent="0.35">
      <c r="A8" s="46" t="s">
        <v>45</v>
      </c>
      <c r="B8" s="49">
        <v>857.05</v>
      </c>
      <c r="C8" s="46">
        <f>IFERROR('Data Sheet'!C18,'Data Sheet'!C20:C22)*-1</f>
        <v>0</v>
      </c>
    </row>
    <row r="9" spans="1:11" x14ac:dyDescent="0.35">
      <c r="A9" s="46" t="s">
        <v>44</v>
      </c>
      <c r="B9" s="49">
        <v>115441.51</v>
      </c>
    </row>
    <row r="15" spans="1:11" x14ac:dyDescent="0.35">
      <c r="A15" s="48" t="s">
        <v>43</v>
      </c>
    </row>
    <row r="16" spans="1:11" s="51" customFormat="1" x14ac:dyDescent="0.35">
      <c r="A16" s="53" t="s">
        <v>7</v>
      </c>
      <c r="B16" s="52">
        <v>42825</v>
      </c>
      <c r="C16" s="52">
        <v>43190</v>
      </c>
      <c r="D16" s="52">
        <v>43555</v>
      </c>
      <c r="E16" s="52">
        <v>43921</v>
      </c>
      <c r="F16" s="52">
        <v>44286</v>
      </c>
      <c r="G16" s="52">
        <v>44651</v>
      </c>
      <c r="H16" s="52">
        <v>45016</v>
      </c>
      <c r="I16" s="52">
        <v>45382</v>
      </c>
      <c r="J16" s="52">
        <v>45747</v>
      </c>
      <c r="K16" s="52">
        <v>46112</v>
      </c>
    </row>
    <row r="17" spans="1:11" s="50" customFormat="1" x14ac:dyDescent="0.35">
      <c r="A17" s="50" t="s">
        <v>33</v>
      </c>
      <c r="B17" s="49">
        <v>16039.22</v>
      </c>
      <c r="C17" s="49">
        <v>17115.32</v>
      </c>
      <c r="D17" s="49">
        <v>19182.060000000001</v>
      </c>
      <c r="E17" s="49">
        <v>21401.279999999999</v>
      </c>
      <c r="F17" s="49">
        <v>39108.080000000002</v>
      </c>
      <c r="G17" s="49">
        <v>38888.44</v>
      </c>
      <c r="H17" s="49">
        <v>44985.16</v>
      </c>
      <c r="I17" s="49">
        <v>55649.73</v>
      </c>
      <c r="J17" s="49">
        <v>62039.43</v>
      </c>
      <c r="K17" s="49">
        <v>67504.09</v>
      </c>
    </row>
    <row r="18" spans="1:11" s="50" customFormat="1" x14ac:dyDescent="0.35">
      <c r="A18" s="46" t="s">
        <v>42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</row>
    <row r="19" spans="1:11" s="50" customFormat="1" x14ac:dyDescent="0.35">
      <c r="A19" s="46" t="s">
        <v>41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</row>
    <row r="20" spans="1:11" s="50" customFormat="1" x14ac:dyDescent="0.35">
      <c r="A20" s="46" t="s">
        <v>40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</row>
    <row r="21" spans="1:11" s="50" customFormat="1" x14ac:dyDescent="0.35">
      <c r="A21" s="46" t="s">
        <v>39</v>
      </c>
      <c r="B21" s="49">
        <v>93.6</v>
      </c>
      <c r="C21" s="49">
        <v>94.57</v>
      </c>
      <c r="D21" s="49">
        <v>95.21</v>
      </c>
      <c r="E21" s="49">
        <v>93.96</v>
      </c>
      <c r="F21" s="49">
        <v>201.76</v>
      </c>
      <c r="G21" s="49">
        <v>246.33</v>
      </c>
      <c r="H21" s="49">
        <v>195.34</v>
      </c>
      <c r="I21" s="49">
        <v>252.83</v>
      </c>
      <c r="J21" s="49">
        <v>274.02</v>
      </c>
      <c r="K21" s="49">
        <v>280.32</v>
      </c>
    </row>
    <row r="22" spans="1:11" s="50" customFormat="1" x14ac:dyDescent="0.35">
      <c r="A22" s="46" t="s">
        <v>38</v>
      </c>
      <c r="B22" s="49">
        <v>1996.2</v>
      </c>
      <c r="C22" s="49">
        <v>2105.54</v>
      </c>
      <c r="D22" s="49">
        <v>2228.71</v>
      </c>
      <c r="E22" s="49">
        <v>2479.2800000000002</v>
      </c>
      <c r="F22" s="49">
        <v>6412.39</v>
      </c>
      <c r="G22" s="49">
        <v>6739.61</v>
      </c>
      <c r="H22" s="49">
        <v>7580.41</v>
      </c>
      <c r="I22" s="49">
        <v>9322.06</v>
      </c>
      <c r="J22" s="49">
        <v>9977.08</v>
      </c>
      <c r="K22" s="49">
        <v>10883.62</v>
      </c>
    </row>
    <row r="23" spans="1:11" s="50" customFormat="1" x14ac:dyDescent="0.35">
      <c r="A23" s="46" t="s">
        <v>37</v>
      </c>
      <c r="B23" s="49">
        <v>607.15</v>
      </c>
      <c r="C23" s="49">
        <v>640.96</v>
      </c>
      <c r="D23" s="49">
        <v>706.05</v>
      </c>
      <c r="E23" s="49">
        <v>739.22</v>
      </c>
      <c r="F23" s="49">
        <v>1573.52</v>
      </c>
      <c r="G23" s="49">
        <v>1652.98</v>
      </c>
      <c r="H23" s="49">
        <v>1807.53</v>
      </c>
      <c r="I23" s="49">
        <v>1816.52</v>
      </c>
      <c r="J23" s="49">
        <v>1975.06</v>
      </c>
      <c r="K23" s="49">
        <v>2253.58</v>
      </c>
    </row>
    <row r="24" spans="1:11" s="50" customFormat="1" x14ac:dyDescent="0.35">
      <c r="A24" s="46" t="s">
        <v>36</v>
      </c>
      <c r="B24" s="49">
        <v>3446.62</v>
      </c>
      <c r="C24" s="49">
        <v>4157.2299999999996</v>
      </c>
      <c r="D24" s="49">
        <v>5258.82</v>
      </c>
      <c r="E24" s="49">
        <v>5925.35</v>
      </c>
      <c r="F24" s="49">
        <v>9841.2900000000009</v>
      </c>
      <c r="G24" s="49">
        <v>11645.82</v>
      </c>
      <c r="H24" s="49">
        <v>11993.51</v>
      </c>
      <c r="I24" s="49">
        <v>8951.02</v>
      </c>
      <c r="J24" s="49">
        <v>7592.02</v>
      </c>
      <c r="K24" s="49">
        <v>7292.6</v>
      </c>
    </row>
    <row r="25" spans="1:11" s="50" customFormat="1" x14ac:dyDescent="0.35">
      <c r="A25" s="50" t="s">
        <v>31</v>
      </c>
      <c r="B25" s="49">
        <v>2222.4</v>
      </c>
      <c r="C25" s="49">
        <v>2416.59</v>
      </c>
      <c r="D25" s="49">
        <v>1891.44</v>
      </c>
      <c r="E25" s="49">
        <v>3325.5</v>
      </c>
      <c r="F25" s="49">
        <v>6111.4</v>
      </c>
      <c r="G25" s="49">
        <v>7379.71</v>
      </c>
      <c r="H25" s="49">
        <v>7804.5</v>
      </c>
      <c r="I25" s="49">
        <v>8581.9500000000007</v>
      </c>
      <c r="J25" s="49">
        <v>10011.450000000001</v>
      </c>
      <c r="K25" s="49">
        <v>10828.61</v>
      </c>
    </row>
    <row r="26" spans="1:11" s="50" customFormat="1" x14ac:dyDescent="0.35">
      <c r="A26" s="50" t="s">
        <v>30</v>
      </c>
      <c r="B26" s="49">
        <v>166.24</v>
      </c>
      <c r="C26" s="49">
        <v>236.84</v>
      </c>
      <c r="D26" s="49">
        <v>259.29000000000002</v>
      </c>
      <c r="E26" s="49">
        <v>314.01</v>
      </c>
      <c r="F26" s="49">
        <v>636.9</v>
      </c>
      <c r="G26" s="49">
        <v>600.86</v>
      </c>
      <c r="H26" s="49">
        <v>532.39</v>
      </c>
      <c r="I26" s="49">
        <v>531.14</v>
      </c>
      <c r="J26" s="49">
        <v>542.94000000000005</v>
      </c>
      <c r="K26" s="49">
        <v>608.86</v>
      </c>
    </row>
    <row r="27" spans="1:11" s="50" customFormat="1" x14ac:dyDescent="0.35">
      <c r="A27" s="50" t="s">
        <v>29</v>
      </c>
      <c r="B27" s="49">
        <v>10891.46</v>
      </c>
      <c r="C27" s="49">
        <v>10851.28</v>
      </c>
      <c r="D27" s="49">
        <v>12166.75</v>
      </c>
      <c r="E27" s="49">
        <v>13797.51</v>
      </c>
      <c r="F27" s="49">
        <v>23438.799999999999</v>
      </c>
      <c r="G27" s="49">
        <v>22129.25</v>
      </c>
      <c r="H27" s="49">
        <v>24717.29</v>
      </c>
      <c r="I27" s="49">
        <v>32340.76</v>
      </c>
      <c r="J27" s="49">
        <v>36826.25</v>
      </c>
      <c r="K27" s="49">
        <v>40538.660000000003</v>
      </c>
    </row>
    <row r="28" spans="1:11" s="50" customFormat="1" x14ac:dyDescent="0.35">
      <c r="A28" s="50" t="s">
        <v>28</v>
      </c>
      <c r="B28" s="49">
        <v>1060.3499999999999</v>
      </c>
      <c r="C28" s="49">
        <v>1445.49</v>
      </c>
      <c r="D28" s="49">
        <v>358.67</v>
      </c>
      <c r="E28" s="49">
        <v>1377.45</v>
      </c>
      <c r="F28" s="49">
        <v>3114.82</v>
      </c>
      <c r="G28" s="49">
        <v>3253.3</v>
      </c>
      <c r="H28" s="49">
        <v>5963.19</v>
      </c>
      <c r="I28" s="49">
        <v>11017.35</v>
      </c>
      <c r="J28" s="49">
        <v>14863.51</v>
      </c>
      <c r="K28" s="49">
        <v>16475.060000000001</v>
      </c>
    </row>
    <row r="29" spans="1:11" s="50" customFormat="1" x14ac:dyDescent="0.35">
      <c r="A29" s="50" t="s">
        <v>27</v>
      </c>
      <c r="B29" s="49">
        <v>-352.56</v>
      </c>
      <c r="C29" s="49">
        <v>182.57</v>
      </c>
      <c r="D29" s="49">
        <v>37.74</v>
      </c>
      <c r="E29" s="49">
        <v>619.37</v>
      </c>
      <c r="F29" s="49">
        <v>99.1</v>
      </c>
      <c r="G29" s="49">
        <v>-740.59</v>
      </c>
      <c r="H29" s="49">
        <v>632.71</v>
      </c>
      <c r="I29" s="49">
        <v>2888.2</v>
      </c>
      <c r="J29" s="49">
        <v>3868.64</v>
      </c>
      <c r="K29" s="49">
        <v>4248.07</v>
      </c>
    </row>
    <row r="30" spans="1:11" s="50" customFormat="1" x14ac:dyDescent="0.35">
      <c r="A30" s="50" t="s">
        <v>26</v>
      </c>
      <c r="B30" s="49">
        <v>1453.06</v>
      </c>
      <c r="C30" s="49">
        <v>1310.54</v>
      </c>
      <c r="D30" s="49">
        <v>380.13</v>
      </c>
      <c r="E30" s="49">
        <v>861.34</v>
      </c>
      <c r="F30" s="49">
        <v>3149.15</v>
      </c>
      <c r="G30" s="49">
        <v>4141.8100000000004</v>
      </c>
      <c r="H30" s="49">
        <v>5572.31</v>
      </c>
      <c r="I30" s="49">
        <v>8419.41</v>
      </c>
      <c r="J30" s="49">
        <v>11261.47</v>
      </c>
      <c r="K30" s="49">
        <v>11704.28</v>
      </c>
    </row>
    <row r="31" spans="1:11" s="50" customFormat="1" x14ac:dyDescent="0.35">
      <c r="A31" s="50" t="s">
        <v>35</v>
      </c>
      <c r="B31" s="49">
        <v>288.17</v>
      </c>
      <c r="F31" s="49">
        <v>225.87</v>
      </c>
      <c r="G31" s="49">
        <v>809.54</v>
      </c>
      <c r="H31" s="49">
        <v>1071.08</v>
      </c>
      <c r="I31" s="49">
        <v>1616.35</v>
      </c>
      <c r="J31" s="49">
        <v>2188.81</v>
      </c>
      <c r="K31" s="49">
        <v>2458.1999999999998</v>
      </c>
    </row>
    <row r="32" spans="1:11" s="50" customFormat="1" x14ac:dyDescent="0.35"/>
    <row r="33" spans="1:11" x14ac:dyDescent="0.35">
      <c r="A33" s="50"/>
    </row>
    <row r="34" spans="1:11" x14ac:dyDescent="0.35">
      <c r="A34" s="50"/>
    </row>
    <row r="35" spans="1:11" x14ac:dyDescent="0.35">
      <c r="A35" s="50"/>
    </row>
    <row r="36" spans="1:11" x14ac:dyDescent="0.35">
      <c r="A36" s="50"/>
    </row>
    <row r="37" spans="1:11" x14ac:dyDescent="0.35">
      <c r="A37" s="50"/>
    </row>
    <row r="38" spans="1:11" x14ac:dyDescent="0.35">
      <c r="A38" s="50"/>
    </row>
    <row r="39" spans="1:11" x14ac:dyDescent="0.35">
      <c r="A39" s="50"/>
    </row>
    <row r="40" spans="1:11" x14ac:dyDescent="0.35">
      <c r="A40" s="48" t="s">
        <v>34</v>
      </c>
    </row>
    <row r="41" spans="1:11" s="51" customFormat="1" x14ac:dyDescent="0.35">
      <c r="A41" s="53" t="s">
        <v>7</v>
      </c>
      <c r="B41" s="52">
        <v>45382</v>
      </c>
      <c r="C41" s="52">
        <v>45473</v>
      </c>
      <c r="D41" s="52">
        <v>45565</v>
      </c>
      <c r="E41" s="52">
        <v>45657</v>
      </c>
      <c r="F41" s="52">
        <v>45747</v>
      </c>
      <c r="G41" s="52">
        <v>45838</v>
      </c>
      <c r="H41" s="52">
        <v>45930</v>
      </c>
      <c r="I41" s="52">
        <v>46022</v>
      </c>
      <c r="J41" s="52">
        <v>46112</v>
      </c>
      <c r="K41" s="52">
        <v>46203</v>
      </c>
    </row>
    <row r="42" spans="1:11" s="50" customFormat="1" x14ac:dyDescent="0.35">
      <c r="A42" s="50" t="s">
        <v>33</v>
      </c>
      <c r="B42" s="49">
        <v>14633.41</v>
      </c>
      <c r="C42" s="49">
        <v>15040.63</v>
      </c>
      <c r="D42" s="49">
        <v>15369.01</v>
      </c>
      <c r="E42" s="49">
        <v>15770.16</v>
      </c>
      <c r="F42" s="49">
        <v>15859.63</v>
      </c>
      <c r="G42" s="49">
        <v>16285.1</v>
      </c>
      <c r="H42" s="49">
        <v>16628.28</v>
      </c>
      <c r="I42" s="49">
        <v>17102.21</v>
      </c>
      <c r="J42" s="49">
        <v>17488.5</v>
      </c>
      <c r="K42" s="49">
        <v>18095.14</v>
      </c>
    </row>
    <row r="43" spans="1:11" s="50" customFormat="1" x14ac:dyDescent="0.35">
      <c r="A43" s="50" t="s">
        <v>32</v>
      </c>
      <c r="B43" s="49">
        <v>5378.16</v>
      </c>
      <c r="C43" s="49">
        <v>4994.32</v>
      </c>
      <c r="D43" s="49">
        <v>5143.7299999999996</v>
      </c>
      <c r="E43" s="49">
        <v>5101.71</v>
      </c>
      <c r="F43" s="49">
        <v>5097.49</v>
      </c>
      <c r="G43" s="49">
        <v>4880.1499999999996</v>
      </c>
      <c r="H43" s="49">
        <v>5108.3900000000003</v>
      </c>
      <c r="I43" s="49">
        <v>5492.5</v>
      </c>
      <c r="J43" s="49">
        <v>5811.46</v>
      </c>
      <c r="K43" s="49">
        <v>5946.06</v>
      </c>
    </row>
    <row r="44" spans="1:11" s="50" customFormat="1" x14ac:dyDescent="0.35">
      <c r="A44" s="50" t="s">
        <v>31</v>
      </c>
      <c r="B44" s="49">
        <v>2432.08</v>
      </c>
      <c r="C44" s="49">
        <v>2077.13</v>
      </c>
      <c r="D44" s="49">
        <v>2602.21</v>
      </c>
      <c r="E44" s="49">
        <v>2397.38</v>
      </c>
      <c r="F44" s="49">
        <v>2934.73</v>
      </c>
      <c r="G44" s="49">
        <v>1853.91</v>
      </c>
      <c r="H44" s="49">
        <v>2642.81</v>
      </c>
      <c r="I44" s="49">
        <v>2792.57</v>
      </c>
      <c r="J44" s="49">
        <v>2772.73</v>
      </c>
      <c r="K44" s="49">
        <v>2902.24</v>
      </c>
    </row>
    <row r="45" spans="1:11" s="50" customFormat="1" x14ac:dyDescent="0.35">
      <c r="A45" s="50" t="s">
        <v>30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</row>
    <row r="46" spans="1:11" s="50" customFormat="1" x14ac:dyDescent="0.35">
      <c r="A46" s="50" t="s">
        <v>29</v>
      </c>
      <c r="B46" s="49">
        <v>8609.1299999999992</v>
      </c>
      <c r="C46" s="49">
        <v>8860.51</v>
      </c>
      <c r="D46" s="49">
        <v>9153.5</v>
      </c>
      <c r="E46" s="49">
        <v>9345.18</v>
      </c>
      <c r="F46" s="49">
        <v>9467.06</v>
      </c>
      <c r="G46" s="49">
        <v>9924.09</v>
      </c>
      <c r="H46" s="49">
        <v>10039.709999999999</v>
      </c>
      <c r="I46" s="49">
        <v>10202.9</v>
      </c>
      <c r="J46" s="49">
        <v>10371.959999999999</v>
      </c>
      <c r="K46" s="49">
        <v>10656.86</v>
      </c>
    </row>
    <row r="47" spans="1:11" s="50" customFormat="1" x14ac:dyDescent="0.35">
      <c r="A47" s="50" t="s">
        <v>28</v>
      </c>
      <c r="B47" s="49">
        <v>3078.2</v>
      </c>
      <c r="C47" s="49">
        <v>3262.93</v>
      </c>
      <c r="D47" s="49">
        <v>3673.99</v>
      </c>
      <c r="E47" s="49">
        <v>3720.65</v>
      </c>
      <c r="F47" s="49">
        <v>4229.8100000000004</v>
      </c>
      <c r="G47" s="49">
        <v>3334.77</v>
      </c>
      <c r="H47" s="49">
        <v>4122.99</v>
      </c>
      <c r="I47" s="49">
        <v>4199.38</v>
      </c>
      <c r="J47" s="49">
        <v>4077.81</v>
      </c>
      <c r="K47" s="49">
        <v>4394.46</v>
      </c>
    </row>
    <row r="48" spans="1:11" s="50" customFormat="1" x14ac:dyDescent="0.35">
      <c r="A48" s="50" t="s">
        <v>27</v>
      </c>
      <c r="B48" s="49">
        <v>817.89</v>
      </c>
      <c r="C48" s="49">
        <v>845.63</v>
      </c>
      <c r="D48" s="49">
        <v>933.96</v>
      </c>
      <c r="E48" s="49">
        <v>844.5</v>
      </c>
      <c r="F48" s="49">
        <v>1268.42</v>
      </c>
      <c r="G48" s="49">
        <v>1116.26</v>
      </c>
      <c r="H48" s="49">
        <v>1082.46</v>
      </c>
      <c r="I48" s="49">
        <v>1113.22</v>
      </c>
      <c r="J48" s="49">
        <v>962.61</v>
      </c>
      <c r="K48" s="49">
        <v>1094.98</v>
      </c>
    </row>
    <row r="49" spans="1:11" s="50" customFormat="1" x14ac:dyDescent="0.35">
      <c r="A49" s="50" t="s">
        <v>26</v>
      </c>
      <c r="B49" s="49">
        <v>2295.61</v>
      </c>
      <c r="C49" s="49">
        <v>2570.4</v>
      </c>
      <c r="D49" s="49">
        <v>2799.7</v>
      </c>
      <c r="E49" s="49">
        <v>2909.73</v>
      </c>
      <c r="F49" s="49">
        <v>2981.64</v>
      </c>
      <c r="G49" s="49">
        <v>2276.37</v>
      </c>
      <c r="H49" s="49">
        <v>3107.97</v>
      </c>
      <c r="I49" s="49">
        <v>3146.88</v>
      </c>
      <c r="J49" s="49">
        <v>3173.05</v>
      </c>
      <c r="K49" s="49">
        <v>3356.63</v>
      </c>
    </row>
    <row r="50" spans="1:11" x14ac:dyDescent="0.35">
      <c r="A50" s="50" t="s">
        <v>25</v>
      </c>
      <c r="B50" s="49">
        <v>9255.25</v>
      </c>
      <c r="C50" s="49">
        <v>10046.31</v>
      </c>
      <c r="D50" s="49">
        <v>10225.280000000001</v>
      </c>
      <c r="E50" s="49">
        <v>10668.45</v>
      </c>
      <c r="F50" s="49">
        <v>10762.14</v>
      </c>
      <c r="G50" s="49">
        <v>11404.95</v>
      </c>
      <c r="H50" s="49">
        <v>11519.89</v>
      </c>
      <c r="I50" s="49">
        <v>11609.71</v>
      </c>
      <c r="J50" s="49">
        <v>11677.04</v>
      </c>
      <c r="K50" s="49">
        <v>12149.08</v>
      </c>
    </row>
    <row r="51" spans="1:11" x14ac:dyDescent="0.35">
      <c r="A51" s="48" t="s">
        <v>65</v>
      </c>
      <c r="B51" s="54">
        <v>16892.02</v>
      </c>
      <c r="C51" s="54">
        <v>20164.599999999999</v>
      </c>
      <c r="D51" s="54">
        <v>19850</v>
      </c>
      <c r="E51" s="54">
        <v>20404</v>
      </c>
      <c r="F51" s="54">
        <v>22268</v>
      </c>
      <c r="G51" s="54">
        <v>23828</v>
      </c>
      <c r="H51" s="54">
        <v>22359</v>
      </c>
      <c r="I51" s="54">
        <v>18164</v>
      </c>
      <c r="J51" s="54">
        <v>17822</v>
      </c>
      <c r="K51" s="54">
        <v>22113</v>
      </c>
    </row>
    <row r="52" spans="1:11" x14ac:dyDescent="0.35">
      <c r="A52" s="50"/>
    </row>
    <row r="53" spans="1:11" x14ac:dyDescent="0.35">
      <c r="A53" s="50"/>
    </row>
    <row r="54" spans="1:11" x14ac:dyDescent="0.35">
      <c r="A54" s="50"/>
    </row>
    <row r="55" spans="1:11" x14ac:dyDescent="0.35">
      <c r="A55" s="48" t="s">
        <v>24</v>
      </c>
    </row>
    <row r="56" spans="1:11" s="51" customFormat="1" x14ac:dyDescent="0.35">
      <c r="A56" s="53" t="s">
        <v>7</v>
      </c>
      <c r="B56" s="52">
        <v>42825</v>
      </c>
      <c r="C56" s="52">
        <v>43190</v>
      </c>
      <c r="D56" s="52">
        <v>43555</v>
      </c>
      <c r="E56" s="52">
        <v>43921</v>
      </c>
      <c r="F56" s="52">
        <v>44286</v>
      </c>
      <c r="G56" s="52">
        <v>44651</v>
      </c>
      <c r="H56" s="52">
        <v>45016</v>
      </c>
      <c r="I56" s="52">
        <v>45382</v>
      </c>
      <c r="J56" s="52">
        <v>45747</v>
      </c>
      <c r="K56" s="52">
        <v>46112</v>
      </c>
    </row>
    <row r="57" spans="1:11" x14ac:dyDescent="0.35">
      <c r="A57" s="50" t="s">
        <v>23</v>
      </c>
      <c r="B57" s="49">
        <v>480.29</v>
      </c>
      <c r="C57" s="49">
        <v>480.29</v>
      </c>
      <c r="D57" s="49">
        <v>480.29</v>
      </c>
      <c r="E57" s="49">
        <v>608.79999999999995</v>
      </c>
      <c r="F57" s="49">
        <v>1129.3699999999999</v>
      </c>
      <c r="G57" s="49">
        <v>1245.44</v>
      </c>
      <c r="H57" s="49">
        <v>1245.44</v>
      </c>
      <c r="I57" s="49">
        <v>1346.96</v>
      </c>
      <c r="J57" s="49">
        <v>1346.96</v>
      </c>
      <c r="K57" s="49">
        <v>1346.96</v>
      </c>
    </row>
    <row r="58" spans="1:11" x14ac:dyDescent="0.35">
      <c r="A58" s="50" t="s">
        <v>22</v>
      </c>
      <c r="B58" s="49">
        <v>16953.55</v>
      </c>
      <c r="C58" s="49">
        <v>18235.150000000001</v>
      </c>
      <c r="D58" s="49">
        <v>19235.169999999998</v>
      </c>
      <c r="E58" s="49">
        <v>22158.78</v>
      </c>
      <c r="F58" s="49">
        <v>38328.699999999997</v>
      </c>
      <c r="G58" s="49">
        <v>43706.49</v>
      </c>
      <c r="H58" s="49">
        <v>48261.38</v>
      </c>
      <c r="I58" s="49">
        <v>58901.24</v>
      </c>
      <c r="J58" s="49">
        <v>70165.95</v>
      </c>
      <c r="K58" s="49">
        <v>78695.92</v>
      </c>
    </row>
    <row r="59" spans="1:11" x14ac:dyDescent="0.35">
      <c r="A59" s="50" t="s">
        <v>21</v>
      </c>
      <c r="B59" s="49">
        <v>195116.93</v>
      </c>
      <c r="C59" s="49">
        <v>228021.98</v>
      </c>
      <c r="D59" s="49">
        <v>254178.34</v>
      </c>
      <c r="E59" s="49">
        <v>281014.71000000002</v>
      </c>
      <c r="F59" s="49">
        <v>562792.56999999995</v>
      </c>
      <c r="G59" s="49">
        <v>610788.4</v>
      </c>
      <c r="H59" s="49">
        <v>643215.65</v>
      </c>
      <c r="I59" s="49">
        <v>711095.95</v>
      </c>
      <c r="J59" s="49">
        <v>778650.62</v>
      </c>
      <c r="K59" s="49">
        <v>874460.58</v>
      </c>
    </row>
    <row r="60" spans="1:11" x14ac:dyDescent="0.35">
      <c r="A60" s="50" t="s">
        <v>20</v>
      </c>
      <c r="B60" s="49">
        <v>5956.67</v>
      </c>
      <c r="C60" s="49">
        <v>6243.99</v>
      </c>
      <c r="D60" s="49">
        <v>6494.48</v>
      </c>
      <c r="E60" s="49">
        <v>6358.67</v>
      </c>
      <c r="F60" s="49">
        <v>23284.53</v>
      </c>
      <c r="G60" s="49">
        <v>18356.099999999999</v>
      </c>
      <c r="H60" s="49">
        <v>20611.53</v>
      </c>
      <c r="I60" s="49">
        <v>24364.67</v>
      </c>
      <c r="J60" s="49">
        <v>26875.07</v>
      </c>
      <c r="K60" s="49">
        <v>37049.33</v>
      </c>
    </row>
    <row r="61" spans="1:11" s="48" customFormat="1" x14ac:dyDescent="0.35">
      <c r="A61" s="48" t="s">
        <v>15</v>
      </c>
      <c r="B61" s="49">
        <v>218507.44</v>
      </c>
      <c r="C61" s="49">
        <v>252981.41</v>
      </c>
      <c r="D61" s="49">
        <v>280388.28000000003</v>
      </c>
      <c r="E61" s="49">
        <v>310140.96000000002</v>
      </c>
      <c r="F61" s="49">
        <v>625535.17000000004</v>
      </c>
      <c r="G61" s="49">
        <v>674096.43</v>
      </c>
      <c r="H61" s="49">
        <v>713334</v>
      </c>
      <c r="I61" s="49">
        <v>795708.82</v>
      </c>
      <c r="J61" s="49">
        <v>877038.6</v>
      </c>
      <c r="K61" s="49">
        <v>991552.79</v>
      </c>
    </row>
    <row r="62" spans="1:11" x14ac:dyDescent="0.35">
      <c r="A62" s="50" t="s">
        <v>19</v>
      </c>
      <c r="B62" s="49">
        <v>3436.04</v>
      </c>
      <c r="C62" s="49">
        <v>3421.47</v>
      </c>
      <c r="D62" s="49">
        <v>3964.23</v>
      </c>
      <c r="E62" s="49">
        <v>3898.3</v>
      </c>
      <c r="F62" s="49">
        <v>7392.13</v>
      </c>
      <c r="G62" s="49">
        <v>7693.78</v>
      </c>
      <c r="H62" s="49">
        <v>7471.6</v>
      </c>
      <c r="I62" s="49">
        <v>7537.62</v>
      </c>
      <c r="J62" s="49">
        <v>8854.3799999999992</v>
      </c>
      <c r="K62" s="49">
        <v>8674</v>
      </c>
    </row>
    <row r="63" spans="1:11" x14ac:dyDescent="0.35">
      <c r="A63" s="50" t="s">
        <v>18</v>
      </c>
      <c r="B63" s="49">
        <v>10.64</v>
      </c>
      <c r="C63" s="49">
        <v>0.61</v>
      </c>
      <c r="D63" s="49">
        <v>0.76</v>
      </c>
      <c r="E63" s="49">
        <v>0.78</v>
      </c>
      <c r="F63" s="49">
        <v>0.43</v>
      </c>
      <c r="G63" s="49">
        <v>5.13</v>
      </c>
      <c r="H63" s="49">
        <v>9.07</v>
      </c>
      <c r="I63" s="49">
        <v>2.2799999999999998</v>
      </c>
      <c r="J63" s="49">
        <v>2.95</v>
      </c>
      <c r="K63" s="49">
        <v>2.81</v>
      </c>
    </row>
    <row r="64" spans="1:11" x14ac:dyDescent="0.35">
      <c r="A64" s="50" t="s">
        <v>17</v>
      </c>
      <c r="B64" s="49">
        <v>67781.19</v>
      </c>
      <c r="C64" s="49">
        <v>71619.14</v>
      </c>
      <c r="D64" s="49">
        <v>65271.55</v>
      </c>
      <c r="E64" s="49">
        <v>81871.16</v>
      </c>
      <c r="F64" s="49">
        <v>178292.44</v>
      </c>
      <c r="G64" s="49">
        <v>176501.61</v>
      </c>
      <c r="H64" s="49">
        <v>188366.28</v>
      </c>
      <c r="I64" s="49">
        <v>215241.82</v>
      </c>
      <c r="J64" s="49">
        <v>228420.86</v>
      </c>
      <c r="K64" s="49">
        <v>247682.04</v>
      </c>
    </row>
    <row r="65" spans="1:11" x14ac:dyDescent="0.35">
      <c r="A65" s="50" t="s">
        <v>16</v>
      </c>
      <c r="B65" s="49">
        <v>147279.57</v>
      </c>
      <c r="C65" s="49">
        <v>177940.19</v>
      </c>
      <c r="D65" s="49">
        <v>211151.74</v>
      </c>
      <c r="E65" s="49">
        <v>224370.72</v>
      </c>
      <c r="F65" s="49">
        <v>439850.17</v>
      </c>
      <c r="G65" s="49">
        <v>489895.91</v>
      </c>
      <c r="H65" s="49">
        <v>517487.05</v>
      </c>
      <c r="I65" s="49">
        <v>572927.1</v>
      </c>
      <c r="J65" s="49">
        <v>639760.41</v>
      </c>
      <c r="K65" s="49">
        <v>735193.94</v>
      </c>
    </row>
    <row r="66" spans="1:11" s="48" customFormat="1" x14ac:dyDescent="0.35">
      <c r="A66" s="48" t="s">
        <v>15</v>
      </c>
      <c r="B66" s="49">
        <v>218507.44</v>
      </c>
      <c r="C66" s="49">
        <v>252981.41</v>
      </c>
      <c r="D66" s="49">
        <v>280388.28000000003</v>
      </c>
      <c r="E66" s="49">
        <v>310140.96000000002</v>
      </c>
      <c r="F66" s="49">
        <v>625535.17000000004</v>
      </c>
      <c r="G66" s="49">
        <v>674096.43</v>
      </c>
      <c r="H66" s="49">
        <v>713334</v>
      </c>
      <c r="I66" s="49">
        <v>795708.82</v>
      </c>
      <c r="J66" s="49">
        <v>877038.6</v>
      </c>
      <c r="K66" s="49">
        <v>991552.79</v>
      </c>
    </row>
    <row r="67" spans="1:11" s="50" customFormat="1" x14ac:dyDescent="0.35">
      <c r="A67" s="50" t="s">
        <v>14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</row>
    <row r="68" spans="1:11" x14ac:dyDescent="0.35">
      <c r="A68" s="50" t="s">
        <v>13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</row>
    <row r="69" spans="1:11" x14ac:dyDescent="0.35">
      <c r="A69" s="46" t="s">
        <v>12</v>
      </c>
      <c r="B69" s="49">
        <v>5588.7</v>
      </c>
      <c r="C69" s="49">
        <v>10501.6</v>
      </c>
      <c r="D69" s="49">
        <v>11701.87</v>
      </c>
      <c r="E69" s="49">
        <v>5736.12</v>
      </c>
      <c r="F69" s="49">
        <v>27545.18</v>
      </c>
      <c r="G69" s="49">
        <v>58554.66</v>
      </c>
      <c r="H69" s="49">
        <v>32692.73</v>
      </c>
      <c r="I69" s="49">
        <v>32702.76</v>
      </c>
      <c r="J69" s="49">
        <v>31947.65</v>
      </c>
      <c r="K69" s="49">
        <v>34054.92</v>
      </c>
    </row>
    <row r="70" spans="1:11" x14ac:dyDescent="0.35">
      <c r="A70" s="46" t="s">
        <v>11</v>
      </c>
      <c r="B70" s="49">
        <v>480291651</v>
      </c>
      <c r="C70" s="49">
        <v>480291651</v>
      </c>
      <c r="D70" s="49">
        <v>480291651</v>
      </c>
      <c r="E70" s="49">
        <v>608800580</v>
      </c>
      <c r="F70" s="49">
        <v>1129366570</v>
      </c>
      <c r="G70" s="49">
        <v>1245441139</v>
      </c>
      <c r="H70" s="49">
        <v>1245441139</v>
      </c>
      <c r="I70" s="49">
        <v>1346963981</v>
      </c>
      <c r="J70" s="49">
        <v>1346963981</v>
      </c>
      <c r="K70" s="49">
        <v>1346963981</v>
      </c>
    </row>
    <row r="71" spans="1:11" x14ac:dyDescent="0.35">
      <c r="A71" s="46" t="s">
        <v>10</v>
      </c>
    </row>
    <row r="72" spans="1:11" x14ac:dyDescent="0.35">
      <c r="A72" s="46" t="s">
        <v>9</v>
      </c>
      <c r="B72" s="49">
        <v>10</v>
      </c>
      <c r="C72" s="49">
        <v>10</v>
      </c>
      <c r="D72" s="49">
        <v>10</v>
      </c>
      <c r="E72" s="49">
        <v>10</v>
      </c>
      <c r="F72" s="49">
        <v>10</v>
      </c>
      <c r="G72" s="49">
        <v>10</v>
      </c>
      <c r="H72" s="49">
        <v>10</v>
      </c>
      <c r="I72" s="49">
        <v>10</v>
      </c>
      <c r="J72" s="49">
        <v>10</v>
      </c>
      <c r="K72" s="49">
        <v>10</v>
      </c>
    </row>
    <row r="74" spans="1:11" x14ac:dyDescent="0.35">
      <c r="A74" s="50"/>
    </row>
    <row r="75" spans="1:11" x14ac:dyDescent="0.35">
      <c r="A75" s="50"/>
    </row>
    <row r="76" spans="1:11" x14ac:dyDescent="0.35">
      <c r="A76" s="50"/>
    </row>
    <row r="77" spans="1:11" x14ac:dyDescent="0.35">
      <c r="A77" s="50"/>
    </row>
    <row r="78" spans="1:11" x14ac:dyDescent="0.35">
      <c r="A78" s="50"/>
    </row>
    <row r="79" spans="1:11" x14ac:dyDescent="0.35">
      <c r="A79" s="50"/>
    </row>
    <row r="80" spans="1:11" x14ac:dyDescent="0.35">
      <c r="A80" s="48" t="s">
        <v>8</v>
      </c>
    </row>
    <row r="81" spans="1:11" s="51" customFormat="1" x14ac:dyDescent="0.35">
      <c r="A81" s="53" t="s">
        <v>7</v>
      </c>
      <c r="B81" s="52">
        <v>42825</v>
      </c>
      <c r="C81" s="52">
        <v>43190</v>
      </c>
      <c r="D81" s="52">
        <v>43555</v>
      </c>
      <c r="E81" s="52">
        <v>43921</v>
      </c>
      <c r="F81" s="52">
        <v>44286</v>
      </c>
      <c r="G81" s="52">
        <v>44651</v>
      </c>
      <c r="H81" s="52">
        <v>45016</v>
      </c>
      <c r="I81" s="52">
        <v>45382</v>
      </c>
      <c r="J81" s="52">
        <v>45747</v>
      </c>
      <c r="K81" s="52">
        <v>46112</v>
      </c>
    </row>
    <row r="82" spans="1:11" s="48" customFormat="1" x14ac:dyDescent="0.35">
      <c r="A82" s="50" t="s">
        <v>6</v>
      </c>
      <c r="B82" s="49">
        <v>-10813.85</v>
      </c>
      <c r="C82" s="49">
        <v>-3675.79</v>
      </c>
      <c r="D82" s="49">
        <v>6269.85</v>
      </c>
      <c r="E82" s="49">
        <v>-8396.17</v>
      </c>
      <c r="F82" s="49">
        <v>17064.55</v>
      </c>
      <c r="G82" s="49">
        <v>28750.33</v>
      </c>
      <c r="H82" s="49">
        <v>-27893.99</v>
      </c>
      <c r="I82" s="49">
        <v>-8617.26</v>
      </c>
      <c r="J82" s="49">
        <v>17396.400000000001</v>
      </c>
      <c r="K82" s="49">
        <v>18815.48</v>
      </c>
    </row>
    <row r="83" spans="1:11" s="50" customFormat="1" x14ac:dyDescent="0.35">
      <c r="A83" s="50" t="s">
        <v>5</v>
      </c>
      <c r="B83" s="49">
        <v>-179.37</v>
      </c>
      <c r="C83" s="49">
        <v>-214.38</v>
      </c>
      <c r="D83" s="49">
        <v>-175.73</v>
      </c>
      <c r="E83" s="49">
        <v>-247.37</v>
      </c>
      <c r="F83" s="49">
        <v>21232.98</v>
      </c>
      <c r="G83" s="49">
        <v>-304.69</v>
      </c>
      <c r="H83" s="49">
        <v>-313.98</v>
      </c>
      <c r="I83" s="49">
        <v>-617.70000000000005</v>
      </c>
      <c r="J83" s="49">
        <v>-348.4</v>
      </c>
      <c r="K83" s="49">
        <v>-428.07</v>
      </c>
    </row>
    <row r="84" spans="1:11" s="50" customFormat="1" x14ac:dyDescent="0.35">
      <c r="A84" s="50" t="s">
        <v>4</v>
      </c>
      <c r="B84" s="49">
        <v>9040.86</v>
      </c>
      <c r="C84" s="49">
        <v>6776.44</v>
      </c>
      <c r="D84" s="49">
        <v>1000</v>
      </c>
      <c r="E84" s="49">
        <v>2552.42</v>
      </c>
      <c r="F84" s="49">
        <v>1865.55</v>
      </c>
      <c r="G84" s="49">
        <v>18.43</v>
      </c>
      <c r="H84" s="49">
        <v>-1543.42</v>
      </c>
      <c r="I84" s="49">
        <v>1195.04</v>
      </c>
      <c r="J84" s="49">
        <v>-4263.51</v>
      </c>
      <c r="K84" s="49">
        <v>-7649.12</v>
      </c>
    </row>
    <row r="85" spans="1:11" s="48" customFormat="1" x14ac:dyDescent="0.35">
      <c r="A85" s="50" t="s">
        <v>3</v>
      </c>
      <c r="B85" s="49">
        <v>-1952.36</v>
      </c>
      <c r="C85" s="49">
        <v>2886.27</v>
      </c>
      <c r="D85" s="49">
        <v>7094.12</v>
      </c>
      <c r="E85" s="49">
        <v>-6091.12</v>
      </c>
      <c r="F85" s="49">
        <v>40163.08</v>
      </c>
      <c r="G85" s="49">
        <v>28464.07</v>
      </c>
      <c r="H85" s="49">
        <v>-29751.39</v>
      </c>
      <c r="I85" s="49">
        <v>-8039.92</v>
      </c>
      <c r="J85" s="49">
        <v>12784.49</v>
      </c>
      <c r="K85" s="49">
        <v>10738.29</v>
      </c>
    </row>
    <row r="86" spans="1:11" x14ac:dyDescent="0.35">
      <c r="A86" s="50"/>
    </row>
    <row r="87" spans="1:11" x14ac:dyDescent="0.35">
      <c r="A87" s="50"/>
    </row>
    <row r="88" spans="1:11" x14ac:dyDescent="0.35">
      <c r="A88" s="50"/>
    </row>
    <row r="89" spans="1:11" x14ac:dyDescent="0.35">
      <c r="A89" s="50"/>
    </row>
    <row r="90" spans="1:11" s="48" customFormat="1" x14ac:dyDescent="0.35">
      <c r="A90" s="48" t="s">
        <v>2</v>
      </c>
      <c r="B90" s="49">
        <v>278.25</v>
      </c>
      <c r="C90" s="49">
        <v>299.8</v>
      </c>
      <c r="D90" s="49">
        <v>280.10000000000002</v>
      </c>
      <c r="E90" s="49">
        <v>43.1</v>
      </c>
      <c r="F90" s="49">
        <v>116.1</v>
      </c>
      <c r="G90" s="49">
        <v>153.9</v>
      </c>
      <c r="H90" s="49">
        <v>288.55</v>
      </c>
      <c r="I90" s="49">
        <v>520.70000000000005</v>
      </c>
      <c r="J90" s="49">
        <v>541.29999999999995</v>
      </c>
      <c r="K90" s="49">
        <v>845.7</v>
      </c>
    </row>
    <row r="92" spans="1:11" s="48" customFormat="1" x14ac:dyDescent="0.35">
      <c r="A92" s="48" t="s">
        <v>1</v>
      </c>
    </row>
    <row r="93" spans="1:11" x14ac:dyDescent="0.35">
      <c r="A93" s="46" t="s">
        <v>0</v>
      </c>
      <c r="B93" s="47">
        <v>48.03</v>
      </c>
      <c r="C93" s="47">
        <v>48.03</v>
      </c>
      <c r="D93" s="47">
        <v>48.03</v>
      </c>
      <c r="E93" s="47">
        <v>60.88</v>
      </c>
      <c r="F93" s="47">
        <v>112.94</v>
      </c>
      <c r="G93" s="47">
        <v>124.54</v>
      </c>
      <c r="H93" s="47">
        <v>124.54</v>
      </c>
      <c r="I93" s="47">
        <v>134.69999999999999</v>
      </c>
      <c r="J93" s="47">
        <v>134.69999999999999</v>
      </c>
      <c r="K93" s="47">
        <v>134.69999999999999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7FC194F3-F81C-42EC-8C87-763DE43C5845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B32"/>
  <sheetViews>
    <sheetView zoomScale="89" workbookViewId="0">
      <selection activeCell="B42" sqref="B42"/>
    </sheetView>
  </sheetViews>
  <sheetFormatPr defaultRowHeight="14.5" x14ac:dyDescent="0.35"/>
  <cols>
    <col min="2" max="2" width="25.81640625" bestFit="1" customWidth="1"/>
  </cols>
  <sheetData>
    <row r="2" spans="2:28" x14ac:dyDescent="0.35">
      <c r="C2" s="7">
        <v>42430</v>
      </c>
      <c r="D2" s="7">
        <v>42795</v>
      </c>
      <c r="E2" s="7">
        <v>43160</v>
      </c>
      <c r="F2" s="7">
        <v>43525</v>
      </c>
      <c r="G2" s="7">
        <v>43891</v>
      </c>
      <c r="H2" s="7">
        <v>44256</v>
      </c>
      <c r="I2" s="7">
        <v>44621</v>
      </c>
      <c r="J2" s="7">
        <v>44986</v>
      </c>
      <c r="K2" s="7">
        <v>45352</v>
      </c>
      <c r="L2" s="7">
        <v>45717</v>
      </c>
    </row>
    <row r="3" spans="2:28" x14ac:dyDescent="0.35">
      <c r="B3" t="s">
        <v>106</v>
      </c>
      <c r="C3" s="8">
        <v>37900</v>
      </c>
      <c r="D3" s="8">
        <v>30199</v>
      </c>
      <c r="E3" s="8">
        <v>23857</v>
      </c>
      <c r="F3" s="8">
        <v>18891</v>
      </c>
      <c r="G3" s="8">
        <v>26633</v>
      </c>
      <c r="H3" s="8">
        <v>29001</v>
      </c>
      <c r="I3" s="8">
        <v>14283</v>
      </c>
      <c r="J3" s="8">
        <v>35388</v>
      </c>
      <c r="K3" s="8">
        <v>67915</v>
      </c>
      <c r="L3" s="8">
        <v>63102</v>
      </c>
    </row>
    <row r="4" spans="2:28" x14ac:dyDescent="0.35">
      <c r="B4" t="s">
        <v>82</v>
      </c>
      <c r="C4" s="8">
        <v>38626</v>
      </c>
      <c r="D4" s="8">
        <v>28840</v>
      </c>
      <c r="E4" s="8">
        <v>33312</v>
      </c>
      <c r="F4" s="8">
        <v>28771</v>
      </c>
      <c r="G4" s="8">
        <v>23352</v>
      </c>
      <c r="H4" s="8">
        <v>31198</v>
      </c>
      <c r="I4" s="8">
        <v>26943</v>
      </c>
      <c r="J4" s="8">
        <v>41694</v>
      </c>
      <c r="K4" s="8">
        <v>65106</v>
      </c>
      <c r="L4" s="8">
        <v>58937</v>
      </c>
    </row>
    <row r="5" spans="2:28" x14ac:dyDescent="0.35">
      <c r="B5" t="s">
        <v>14</v>
      </c>
      <c r="C5" s="8">
        <v>-2223</v>
      </c>
      <c r="D5" s="8">
        <v>-4152</v>
      </c>
      <c r="E5" s="8">
        <v>-10688</v>
      </c>
      <c r="F5" s="8">
        <v>-9109</v>
      </c>
      <c r="G5" s="8">
        <v>9950</v>
      </c>
      <c r="H5" s="8">
        <v>-5505</v>
      </c>
      <c r="I5">
        <v>185</v>
      </c>
      <c r="J5" s="8">
        <v>-2213</v>
      </c>
      <c r="K5" s="8">
        <v>-1876</v>
      </c>
      <c r="L5" s="8">
        <v>3573</v>
      </c>
      <c r="P5" s="8"/>
      <c r="Q5" s="8"/>
    </row>
    <row r="6" spans="2:28" x14ac:dyDescent="0.35">
      <c r="B6" t="s">
        <v>13</v>
      </c>
      <c r="C6" s="8">
        <v>-5743</v>
      </c>
      <c r="D6" s="8">
        <v>-6621</v>
      </c>
      <c r="E6" s="8">
        <v>-3560</v>
      </c>
      <c r="F6" s="8">
        <v>2069</v>
      </c>
      <c r="G6" s="8">
        <v>2326</v>
      </c>
      <c r="H6" s="8">
        <v>3814</v>
      </c>
      <c r="I6">
        <v>472</v>
      </c>
      <c r="J6" s="8">
        <v>-5665</v>
      </c>
      <c r="K6" s="8">
        <v>-7265</v>
      </c>
      <c r="L6" s="8">
        <v>2127</v>
      </c>
      <c r="Q6" s="8"/>
      <c r="R6" s="8"/>
      <c r="S6" s="7"/>
      <c r="T6" s="7"/>
      <c r="U6" s="7"/>
      <c r="V6" s="7"/>
      <c r="W6" s="7"/>
      <c r="X6" s="7"/>
      <c r="Y6" s="7"/>
      <c r="Z6" s="7"/>
      <c r="AA6" s="7"/>
      <c r="AB6" s="7"/>
    </row>
    <row r="7" spans="2:28" x14ac:dyDescent="0.35">
      <c r="B7" t="s">
        <v>83</v>
      </c>
      <c r="C7" s="8">
        <v>3947</v>
      </c>
      <c r="D7" s="8">
        <v>9301</v>
      </c>
      <c r="E7" s="8">
        <v>7320</v>
      </c>
      <c r="F7" s="8">
        <v>-4692</v>
      </c>
      <c r="G7" s="8">
        <v>-8085</v>
      </c>
      <c r="H7" s="8">
        <v>5748</v>
      </c>
      <c r="I7" s="8">
        <v>-7012</v>
      </c>
      <c r="J7" s="8">
        <v>6945</v>
      </c>
      <c r="K7" s="8">
        <v>13706</v>
      </c>
      <c r="L7" s="8">
        <v>1303</v>
      </c>
    </row>
    <row r="8" spans="2:28" x14ac:dyDescent="0.35">
      <c r="B8" t="s">
        <v>84</v>
      </c>
      <c r="C8">
        <v>-520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2:28" x14ac:dyDescent="0.35">
      <c r="B9" t="s">
        <v>85</v>
      </c>
      <c r="C9" s="8">
        <v>5852</v>
      </c>
      <c r="D9" s="8">
        <v>4727</v>
      </c>
      <c r="E9">
        <v>494</v>
      </c>
      <c r="F9" s="8">
        <v>4512</v>
      </c>
      <c r="G9">
        <v>875</v>
      </c>
      <c r="H9" s="8">
        <v>-4150</v>
      </c>
      <c r="I9" s="8">
        <v>-4396</v>
      </c>
      <c r="J9" s="8">
        <v>-2194</v>
      </c>
      <c r="K9" s="8">
        <v>2760</v>
      </c>
      <c r="L9" s="8">
        <v>1153</v>
      </c>
    </row>
    <row r="10" spans="2:28" x14ac:dyDescent="0.35">
      <c r="B10" t="s">
        <v>86</v>
      </c>
      <c r="C10" s="8">
        <v>-2040</v>
      </c>
      <c r="D10" s="8">
        <v>-1895</v>
      </c>
      <c r="E10" s="8">
        <v>-3021</v>
      </c>
      <c r="F10" s="8">
        <v>-2659</v>
      </c>
      <c r="G10" s="8">
        <v>-1785</v>
      </c>
      <c r="H10" s="8">
        <v>-2105</v>
      </c>
      <c r="I10" s="8">
        <v>-1910</v>
      </c>
      <c r="J10" s="8">
        <v>-3179</v>
      </c>
      <c r="K10" s="8">
        <v>-4516</v>
      </c>
      <c r="L10" s="8">
        <v>-3991</v>
      </c>
      <c r="Q10" s="8"/>
    </row>
    <row r="11" spans="2:28" x14ac:dyDescent="0.35">
      <c r="B11" t="s">
        <v>107</v>
      </c>
      <c r="C11" s="8">
        <v>-36694</v>
      </c>
      <c r="D11" s="8">
        <v>-39571</v>
      </c>
      <c r="E11" s="8">
        <v>-25139</v>
      </c>
      <c r="F11" s="8">
        <v>-20878</v>
      </c>
      <c r="G11" s="8">
        <v>-33115</v>
      </c>
      <c r="H11" s="8">
        <v>-25672</v>
      </c>
      <c r="I11" s="8">
        <v>-4444</v>
      </c>
      <c r="J11" s="8">
        <v>-15417</v>
      </c>
      <c r="K11" s="8">
        <v>-22781</v>
      </c>
      <c r="L11" s="8">
        <v>-49982</v>
      </c>
    </row>
    <row r="12" spans="2:28" x14ac:dyDescent="0.35">
      <c r="B12" t="s">
        <v>87</v>
      </c>
      <c r="C12" s="8">
        <v>-31503</v>
      </c>
      <c r="D12" s="8">
        <v>-16072</v>
      </c>
      <c r="E12" s="8">
        <v>-35079</v>
      </c>
      <c r="F12" s="8">
        <v>-35304</v>
      </c>
      <c r="G12" s="8">
        <v>-29702</v>
      </c>
      <c r="H12" s="8">
        <v>-20205</v>
      </c>
      <c r="I12" s="8">
        <v>-15168</v>
      </c>
      <c r="J12" s="8">
        <v>-19230</v>
      </c>
      <c r="K12" s="8">
        <v>-31414</v>
      </c>
      <c r="L12" s="8">
        <v>-38042</v>
      </c>
    </row>
    <row r="13" spans="2:28" x14ac:dyDescent="0.35">
      <c r="B13" t="s">
        <v>88</v>
      </c>
      <c r="C13">
        <v>59</v>
      </c>
      <c r="D13">
        <v>53</v>
      </c>
      <c r="E13">
        <v>30</v>
      </c>
      <c r="F13">
        <v>67</v>
      </c>
      <c r="G13">
        <v>171</v>
      </c>
      <c r="H13">
        <v>351</v>
      </c>
      <c r="I13">
        <v>230</v>
      </c>
      <c r="J13">
        <v>285</v>
      </c>
      <c r="K13">
        <v>231</v>
      </c>
      <c r="L13">
        <v>974</v>
      </c>
    </row>
    <row r="14" spans="2:28" x14ac:dyDescent="0.35">
      <c r="B14" t="s">
        <v>89</v>
      </c>
      <c r="C14" s="8">
        <v>-4728</v>
      </c>
      <c r="D14">
        <v>-6</v>
      </c>
      <c r="E14">
        <v>-329</v>
      </c>
      <c r="F14">
        <v>-130</v>
      </c>
      <c r="G14" s="8">
        <v>-1439</v>
      </c>
      <c r="H14" s="8">
        <v>-7530</v>
      </c>
      <c r="I14" s="8">
        <v>-3008</v>
      </c>
      <c r="J14">
        <v>-50</v>
      </c>
      <c r="K14">
        <v>-74</v>
      </c>
      <c r="L14" s="8">
        <v>-12677</v>
      </c>
      <c r="S14" s="8"/>
      <c r="T14" s="8"/>
      <c r="U14" s="8"/>
      <c r="V14" s="8"/>
      <c r="W14" s="8"/>
      <c r="Y14" s="8"/>
      <c r="Z14" s="8"/>
      <c r="AA14" s="8"/>
      <c r="AB14" s="8"/>
    </row>
    <row r="15" spans="2:28" x14ac:dyDescent="0.35">
      <c r="B15" t="s">
        <v>90</v>
      </c>
      <c r="C15">
        <v>89</v>
      </c>
      <c r="D15" s="8">
        <v>1965</v>
      </c>
      <c r="E15" s="8">
        <v>2381</v>
      </c>
      <c r="F15" s="8">
        <v>5644</v>
      </c>
      <c r="G15">
        <v>21</v>
      </c>
      <c r="H15">
        <v>226</v>
      </c>
      <c r="I15">
        <v>104</v>
      </c>
      <c r="J15" s="8">
        <v>6895</v>
      </c>
      <c r="K15" s="8">
        <v>10821</v>
      </c>
      <c r="L15">
        <v>111</v>
      </c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2:28" x14ac:dyDescent="0.35">
      <c r="B16" t="s">
        <v>91</v>
      </c>
      <c r="C16">
        <v>731</v>
      </c>
      <c r="D16">
        <v>638</v>
      </c>
      <c r="E16">
        <v>690</v>
      </c>
      <c r="F16">
        <v>761</v>
      </c>
      <c r="G16" s="8">
        <v>1104</v>
      </c>
      <c r="H16">
        <v>428</v>
      </c>
      <c r="I16">
        <v>653</v>
      </c>
      <c r="J16">
        <v>973</v>
      </c>
      <c r="K16" s="8">
        <v>2493</v>
      </c>
      <c r="L16" s="8">
        <v>2420</v>
      </c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2:28" x14ac:dyDescent="0.35">
      <c r="B17" t="s">
        <v>92</v>
      </c>
      <c r="C17">
        <v>58</v>
      </c>
      <c r="D17">
        <v>620</v>
      </c>
      <c r="E17" s="8">
        <v>1797</v>
      </c>
      <c r="F17">
        <v>232</v>
      </c>
      <c r="G17">
        <v>21</v>
      </c>
      <c r="H17">
        <v>18</v>
      </c>
      <c r="I17">
        <v>32</v>
      </c>
      <c r="J17">
        <v>46</v>
      </c>
      <c r="K17">
        <v>47</v>
      </c>
      <c r="L17">
        <v>64</v>
      </c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2:28" x14ac:dyDescent="0.35">
      <c r="B18" t="s">
        <v>93</v>
      </c>
      <c r="C18">
        <v>0</v>
      </c>
      <c r="D18">
        <v>-107</v>
      </c>
      <c r="E18">
        <v>-4</v>
      </c>
      <c r="F18">
        <v>-9</v>
      </c>
      <c r="G18">
        <v>-606</v>
      </c>
      <c r="H18">
        <v>-10</v>
      </c>
      <c r="I18">
        <v>0</v>
      </c>
      <c r="J18">
        <v>0</v>
      </c>
      <c r="K18">
        <v>-150</v>
      </c>
      <c r="L18">
        <v>0</v>
      </c>
      <c r="S18" s="8"/>
      <c r="T18" s="8"/>
      <c r="V18" s="8"/>
      <c r="W18" s="8"/>
      <c r="X18" s="8"/>
      <c r="Y18" s="8"/>
      <c r="Z18" s="8"/>
      <c r="AA18" s="8"/>
      <c r="AB18" s="8"/>
    </row>
    <row r="19" spans="2:28" x14ac:dyDescent="0.35">
      <c r="B19" t="s">
        <v>94</v>
      </c>
      <c r="C19">
        <v>0</v>
      </c>
      <c r="D19">
        <v>0</v>
      </c>
      <c r="E19">
        <v>14</v>
      </c>
      <c r="F19">
        <v>533</v>
      </c>
      <c r="G19">
        <v>0</v>
      </c>
      <c r="H19">
        <v>0</v>
      </c>
      <c r="I19">
        <v>0</v>
      </c>
      <c r="J19">
        <v>19</v>
      </c>
      <c r="K19">
        <v>107</v>
      </c>
      <c r="L19">
        <v>765</v>
      </c>
    </row>
    <row r="20" spans="2:28" x14ac:dyDescent="0.35">
      <c r="B20" t="s">
        <v>95</v>
      </c>
      <c r="C20">
        <v>-111</v>
      </c>
      <c r="D20">
        <v>0</v>
      </c>
      <c r="E20">
        <v>0</v>
      </c>
      <c r="F20">
        <v>-8</v>
      </c>
      <c r="G20">
        <v>-27</v>
      </c>
      <c r="H20">
        <v>0</v>
      </c>
      <c r="I20">
        <v>-98</v>
      </c>
      <c r="J20">
        <v>0</v>
      </c>
      <c r="K20">
        <v>0</v>
      </c>
      <c r="L20">
        <v>-688</v>
      </c>
    </row>
    <row r="21" spans="2:28" x14ac:dyDescent="0.35">
      <c r="B21" t="s">
        <v>96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-25</v>
      </c>
      <c r="L21">
        <v>-20</v>
      </c>
    </row>
    <row r="22" spans="2:28" x14ac:dyDescent="0.35">
      <c r="B22" t="s">
        <v>97</v>
      </c>
      <c r="C22" s="8">
        <v>-1289</v>
      </c>
      <c r="D22" s="8">
        <v>-26663</v>
      </c>
      <c r="E22" s="8">
        <v>5360</v>
      </c>
      <c r="F22" s="8">
        <v>7335</v>
      </c>
      <c r="G22" s="8">
        <v>-2659</v>
      </c>
      <c r="H22" s="8">
        <v>1051</v>
      </c>
      <c r="I22" s="8">
        <v>12813</v>
      </c>
      <c r="J22" s="8">
        <v>-4357</v>
      </c>
      <c r="K22" s="8">
        <v>-4817</v>
      </c>
      <c r="L22" s="8">
        <v>-2889</v>
      </c>
    </row>
    <row r="23" spans="2:28" x14ac:dyDescent="0.35">
      <c r="B23" t="s">
        <v>108</v>
      </c>
      <c r="C23" s="8">
        <v>-3795</v>
      </c>
      <c r="D23" s="8">
        <v>6205</v>
      </c>
      <c r="E23" s="8">
        <v>2012</v>
      </c>
      <c r="F23" s="8">
        <v>8830</v>
      </c>
      <c r="G23" s="8">
        <v>3390</v>
      </c>
      <c r="H23" s="8">
        <v>9904</v>
      </c>
      <c r="I23" s="8">
        <v>-3380</v>
      </c>
      <c r="J23" s="8">
        <v>-26243</v>
      </c>
      <c r="K23" s="8">
        <v>-37006</v>
      </c>
      <c r="L23" s="8">
        <v>-18786</v>
      </c>
    </row>
    <row r="24" spans="2:28" x14ac:dyDescent="0.35">
      <c r="B24" t="s">
        <v>98</v>
      </c>
      <c r="C24" s="8">
        <v>7433</v>
      </c>
      <c r="D24">
        <v>5</v>
      </c>
      <c r="E24">
        <v>0</v>
      </c>
      <c r="F24">
        <v>0</v>
      </c>
      <c r="G24" s="8">
        <v>3889</v>
      </c>
      <c r="H24" s="8">
        <v>2603</v>
      </c>
      <c r="I24">
        <v>19</v>
      </c>
      <c r="J24">
        <v>20</v>
      </c>
      <c r="K24">
        <v>82</v>
      </c>
      <c r="L24" s="8">
        <v>1108</v>
      </c>
    </row>
    <row r="25" spans="2:28" x14ac:dyDescent="0.35">
      <c r="B25" t="s">
        <v>99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2:28" x14ac:dyDescent="0.35">
      <c r="B26" t="s">
        <v>100</v>
      </c>
      <c r="C26" s="8">
        <v>19519</v>
      </c>
      <c r="D26" s="8">
        <v>33390</v>
      </c>
      <c r="E26" s="8">
        <v>37482</v>
      </c>
      <c r="F26" s="8">
        <v>51128</v>
      </c>
      <c r="G26" s="8">
        <v>38297</v>
      </c>
      <c r="H26" s="8">
        <v>46641</v>
      </c>
      <c r="I26" s="8">
        <v>46578</v>
      </c>
      <c r="J26" s="8">
        <v>43934</v>
      </c>
      <c r="K26" s="8">
        <v>18829</v>
      </c>
      <c r="L26" s="8">
        <v>13384</v>
      </c>
    </row>
    <row r="27" spans="2:28" x14ac:dyDescent="0.35">
      <c r="B27" t="s">
        <v>101</v>
      </c>
      <c r="C27" s="8">
        <v>-24924</v>
      </c>
      <c r="D27" s="8">
        <v>-21732</v>
      </c>
      <c r="E27" s="8">
        <v>-29964</v>
      </c>
      <c r="F27" s="8">
        <v>-35198</v>
      </c>
      <c r="G27" s="8">
        <v>-29847</v>
      </c>
      <c r="H27" s="8">
        <v>-29709</v>
      </c>
      <c r="I27" s="8">
        <v>-42816</v>
      </c>
      <c r="J27" s="8">
        <v>-62557</v>
      </c>
      <c r="K27" s="8">
        <v>-47414</v>
      </c>
      <c r="L27" s="8">
        <v>-21443</v>
      </c>
    </row>
    <row r="28" spans="2:28" x14ac:dyDescent="0.35">
      <c r="B28" t="s">
        <v>102</v>
      </c>
      <c r="C28" s="8">
        <v>-5716</v>
      </c>
      <c r="D28" s="8">
        <v>-5336</v>
      </c>
      <c r="E28" s="8">
        <v>-5411</v>
      </c>
      <c r="F28" s="8">
        <v>-7005</v>
      </c>
      <c r="G28" s="8">
        <v>-7518</v>
      </c>
      <c r="H28" s="8">
        <v>-8123</v>
      </c>
      <c r="I28" s="8">
        <v>-9251</v>
      </c>
      <c r="J28" s="8">
        <v>-9336</v>
      </c>
      <c r="K28" s="8">
        <v>-9332</v>
      </c>
      <c r="L28" s="8">
        <v>-5814</v>
      </c>
    </row>
    <row r="29" spans="2:28" x14ac:dyDescent="0.35">
      <c r="B29" t="s">
        <v>103</v>
      </c>
      <c r="C29">
        <v>-108</v>
      </c>
      <c r="D29">
        <v>-121</v>
      </c>
      <c r="E29">
        <v>-96</v>
      </c>
      <c r="F29">
        <v>-95</v>
      </c>
      <c r="G29">
        <v>-57</v>
      </c>
      <c r="H29">
        <v>-30</v>
      </c>
      <c r="I29">
        <v>-100</v>
      </c>
      <c r="J29">
        <v>-141</v>
      </c>
      <c r="K29" s="8">
        <v>-1059</v>
      </c>
      <c r="L29" s="8">
        <v>-2492</v>
      </c>
    </row>
    <row r="30" spans="2:28" x14ac:dyDescent="0.35">
      <c r="B30" t="s">
        <v>104</v>
      </c>
      <c r="C30">
        <v>0</v>
      </c>
      <c r="D30">
        <v>0</v>
      </c>
      <c r="E30">
        <v>0</v>
      </c>
      <c r="F30">
        <v>0</v>
      </c>
      <c r="G30" s="8">
        <v>-1346</v>
      </c>
      <c r="H30" s="8">
        <v>-1477</v>
      </c>
      <c r="I30" s="8">
        <v>-1559</v>
      </c>
      <c r="J30" s="8">
        <v>-1517</v>
      </c>
      <c r="K30" s="8">
        <v>-1924</v>
      </c>
      <c r="L30" s="8">
        <v>-2393</v>
      </c>
    </row>
    <row r="31" spans="2:28" x14ac:dyDescent="0.35">
      <c r="B31" t="s">
        <v>105</v>
      </c>
      <c r="C31">
        <v>0</v>
      </c>
      <c r="D31">
        <v>0</v>
      </c>
      <c r="E31">
        <v>0</v>
      </c>
      <c r="F31">
        <v>0</v>
      </c>
      <c r="G31">
        <v>-29</v>
      </c>
      <c r="H31">
        <v>0</v>
      </c>
      <c r="I31" s="8">
        <v>3750</v>
      </c>
      <c r="J31" s="8">
        <v>3355</v>
      </c>
      <c r="K31" s="8">
        <v>3812</v>
      </c>
      <c r="L31" s="8">
        <v>-1136</v>
      </c>
    </row>
    <row r="32" spans="2:28" x14ac:dyDescent="0.35">
      <c r="B32" t="s">
        <v>3</v>
      </c>
      <c r="C32" s="8">
        <v>-2589</v>
      </c>
      <c r="D32" s="8">
        <v>-3167</v>
      </c>
      <c r="E32">
        <v>730</v>
      </c>
      <c r="F32" s="8">
        <v>6843</v>
      </c>
      <c r="G32" s="8">
        <v>-3092</v>
      </c>
      <c r="H32" s="8">
        <v>13232</v>
      </c>
      <c r="I32" s="8">
        <v>6459</v>
      </c>
      <c r="J32" s="8">
        <v>-6272</v>
      </c>
      <c r="K32" s="8">
        <v>8128</v>
      </c>
      <c r="L32" s="8">
        <v>-5666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Financials&gt;</vt:lpstr>
      <vt:lpstr>HistoricalFS</vt:lpstr>
      <vt:lpstr>Ratio Analysis</vt:lpstr>
      <vt:lpstr>Foreacasting</vt:lpstr>
      <vt:lpstr>Data&gt;</vt:lpstr>
      <vt:lpstr>Data Sheet</vt:lpstr>
      <vt:lpstr>Cash Flow statement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2026-09-08T11:56:03Z</dcterms:modified>
</cp:coreProperties>
</file>