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10" documentId="11_E94F901647C27FDD71C538FA96737E7277F507BD" xr6:coauthVersionLast="47" xr6:coauthVersionMax="47" xr10:uidLastSave="{97A5B55A-CD0F-464C-8BFC-32C2DD5DCDD4}"/>
  <bookViews>
    <workbookView minimized="1" xWindow="760" yWindow="760" windowWidth="14400" windowHeight="7400" activeTab="1" xr2:uid="{00000000-000D-0000-FFFF-FFFF00000000}"/>
  </bookViews>
  <sheets>
    <sheet name="Financials&gt;" sheetId="1" r:id="rId1"/>
    <sheet name="HistoricalFS" sheetId="4" r:id="rId2"/>
    <sheet name="Ratio Analysis" sheetId="6" r:id="rId3"/>
    <sheet name="Foreacasting" sheetId="7" r:id="rId4"/>
    <sheet name="Data&gt;" sheetId="3" r:id="rId5"/>
    <sheet name="Data Sheet" sheetId="2" r:id="rId6"/>
    <sheet name="Cash Flow statement" sheetId="5" r:id="rId7"/>
  </sheets>
  <externalReferences>
    <externalReference r:id="rId8"/>
  </externalReferences>
  <definedNames>
    <definedName name="Beta">'[1]Simplification&gt;'!$C$5</definedName>
    <definedName name="Cost_Of_debt">'[1]Simplify using Name'!$C$9</definedName>
    <definedName name="Cost_Of_equity">'[1]Simplify using Name'!$C$7</definedName>
    <definedName name="CostofDebt">'[1]Simplification&gt;'!$C$6</definedName>
    <definedName name="Current_Sales">'[1]Simplify using Name'!$G$8</definedName>
    <definedName name="Debt_Funding">'[1]Simplify using Name'!$C$16</definedName>
    <definedName name="Debt_Value">'[1]Simplify using Name'!$C$14</definedName>
    <definedName name="DebtValue">'[1]Simplification&gt;'!$C$9</definedName>
    <definedName name="Equity_Funding">'[1]Simplify using Name'!$C$15</definedName>
    <definedName name="Equity_Value">'[1]Simplify using Name'!$C$13</definedName>
    <definedName name="EquityValue">'[1]Simplification&gt;'!$C$8</definedName>
    <definedName name="Gross_Margin">'[1]Simplify using Name'!$G$10</definedName>
    <definedName name="MarketReturn">'[1]Simplification&gt;'!$C$4</definedName>
    <definedName name="Post_Tax_Cost_of_Debt">'[1]Simplify using Name'!$C$11</definedName>
    <definedName name="Riskfreerate">'[1]Simplification&gt;'!$C$3</definedName>
    <definedName name="Sales_Growth">'[1]Simplify using Name'!$G$9</definedName>
    <definedName name="Tax_Rate">'[1]Simplify using Name'!$C$10</definedName>
    <definedName name="TAXRate">'[1]Simplification&gt;'!$C$7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7" l="1"/>
  <c r="B2" i="4"/>
  <c r="O5" i="6"/>
  <c r="L4" i="7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G4" i="7"/>
  <c r="B4" i="7"/>
  <c r="D6" i="7" a="1"/>
  <c r="D6" i="7" s="1"/>
  <c r="B4" i="2"/>
  <c r="D10" i="7" l="1"/>
  <c r="D13" i="7"/>
  <c r="D9" i="7"/>
  <c r="D12" i="7"/>
  <c r="D8" i="7"/>
  <c r="D14" i="7"/>
  <c r="E14" i="7" s="1"/>
  <c r="D15" i="7"/>
  <c r="D11" i="7"/>
  <c r="D7" i="7"/>
  <c r="E15" i="7" l="1"/>
  <c r="E10" i="7"/>
  <c r="D18" i="7"/>
  <c r="D22" i="7"/>
  <c r="D19" i="7"/>
  <c r="D16" i="7"/>
  <c r="E16" i="7" s="1"/>
  <c r="D20" i="7"/>
  <c r="E7" i="7"/>
  <c r="E8" i="7"/>
  <c r="E11" i="7"/>
  <c r="E12" i="7"/>
  <c r="D21" i="7"/>
  <c r="E9" i="7"/>
  <c r="D17" i="7"/>
  <c r="E13" i="7"/>
  <c r="E21" i="7" l="1"/>
  <c r="E19" i="7"/>
  <c r="E17" i="7"/>
  <c r="E22" i="7"/>
  <c r="E20" i="7"/>
  <c r="E18" i="7"/>
  <c r="L77" i="4" l="1"/>
  <c r="K77" i="4"/>
  <c r="J77" i="4"/>
  <c r="I77" i="4"/>
  <c r="H77" i="4"/>
  <c r="G77" i="4"/>
  <c r="F77" i="4"/>
  <c r="E77" i="4"/>
  <c r="D77" i="4"/>
  <c r="C77" i="4"/>
  <c r="L76" i="4"/>
  <c r="K76" i="4"/>
  <c r="J76" i="4"/>
  <c r="I76" i="4"/>
  <c r="H76" i="4"/>
  <c r="G76" i="4"/>
  <c r="F76" i="4"/>
  <c r="E76" i="4"/>
  <c r="D76" i="4"/>
  <c r="C76" i="4"/>
  <c r="L75" i="4"/>
  <c r="K75" i="4"/>
  <c r="J75" i="4"/>
  <c r="I75" i="4"/>
  <c r="H75" i="4"/>
  <c r="G75" i="4"/>
  <c r="F75" i="4"/>
  <c r="E75" i="4"/>
  <c r="D75" i="4"/>
  <c r="C75" i="4"/>
  <c r="L74" i="4"/>
  <c r="K74" i="4"/>
  <c r="J74" i="4"/>
  <c r="I74" i="4"/>
  <c r="H74" i="4"/>
  <c r="G74" i="4"/>
  <c r="F74" i="4"/>
  <c r="E74" i="4"/>
  <c r="D74" i="4"/>
  <c r="C74" i="4"/>
  <c r="L73" i="4"/>
  <c r="K73" i="4"/>
  <c r="J73" i="4"/>
  <c r="I73" i="4"/>
  <c r="H73" i="4"/>
  <c r="G73" i="4"/>
  <c r="F73" i="4"/>
  <c r="E73" i="4"/>
  <c r="D73" i="4"/>
  <c r="C73" i="4"/>
  <c r="L72" i="4"/>
  <c r="K72" i="4"/>
  <c r="J72" i="4"/>
  <c r="I72" i="4"/>
  <c r="H72" i="4"/>
  <c r="G72" i="4"/>
  <c r="F72" i="4"/>
  <c r="E72" i="4"/>
  <c r="D72" i="4"/>
  <c r="C72" i="4"/>
  <c r="L71" i="4"/>
  <c r="K71" i="4"/>
  <c r="J71" i="4"/>
  <c r="I71" i="4"/>
  <c r="H71" i="4"/>
  <c r="G71" i="4"/>
  <c r="F71" i="4"/>
  <c r="E71" i="4"/>
  <c r="D71" i="4"/>
  <c r="C71" i="4"/>
  <c r="B2" i="6" l="1"/>
  <c r="C3" i="6"/>
  <c r="D3" i="6"/>
  <c r="E3" i="6"/>
  <c r="F3" i="6"/>
  <c r="G3" i="6"/>
  <c r="H3" i="6"/>
  <c r="I3" i="6"/>
  <c r="J3" i="6"/>
  <c r="K3" i="6"/>
  <c r="L3" i="6"/>
  <c r="L103" i="4" l="1"/>
  <c r="K103" i="4"/>
  <c r="J103" i="4"/>
  <c r="I103" i="4"/>
  <c r="H103" i="4"/>
  <c r="G103" i="4"/>
  <c r="F103" i="4"/>
  <c r="E103" i="4"/>
  <c r="D103" i="4"/>
  <c r="C103" i="4"/>
  <c r="L102" i="4"/>
  <c r="K102" i="4"/>
  <c r="J102" i="4"/>
  <c r="I102" i="4"/>
  <c r="H102" i="4"/>
  <c r="G102" i="4"/>
  <c r="F102" i="4"/>
  <c r="E102" i="4"/>
  <c r="D102" i="4"/>
  <c r="C102" i="4"/>
  <c r="L101" i="4"/>
  <c r="K101" i="4"/>
  <c r="J101" i="4"/>
  <c r="I101" i="4"/>
  <c r="H101" i="4"/>
  <c r="G101" i="4"/>
  <c r="F101" i="4"/>
  <c r="E101" i="4"/>
  <c r="D101" i="4"/>
  <c r="C101" i="4"/>
  <c r="L100" i="4"/>
  <c r="K100" i="4"/>
  <c r="J100" i="4"/>
  <c r="I100" i="4"/>
  <c r="H100" i="4"/>
  <c r="G100" i="4"/>
  <c r="F100" i="4"/>
  <c r="E100" i="4"/>
  <c r="D100" i="4"/>
  <c r="C100" i="4"/>
  <c r="L99" i="4"/>
  <c r="K99" i="4"/>
  <c r="J99" i="4"/>
  <c r="I99" i="4"/>
  <c r="H99" i="4"/>
  <c r="G99" i="4"/>
  <c r="F99" i="4"/>
  <c r="E99" i="4"/>
  <c r="D99" i="4"/>
  <c r="C99" i="4"/>
  <c r="L98" i="4"/>
  <c r="K98" i="4"/>
  <c r="J98" i="4"/>
  <c r="I98" i="4"/>
  <c r="H98" i="4"/>
  <c r="G98" i="4"/>
  <c r="F98" i="4"/>
  <c r="E98" i="4"/>
  <c r="D98" i="4"/>
  <c r="C98" i="4"/>
  <c r="L97" i="4"/>
  <c r="K97" i="4"/>
  <c r="J97" i="4"/>
  <c r="J104" i="4" s="1"/>
  <c r="I97" i="4"/>
  <c r="H97" i="4"/>
  <c r="G97" i="4"/>
  <c r="F97" i="4"/>
  <c r="F104" i="4" s="1"/>
  <c r="E97" i="4"/>
  <c r="E104" i="4" s="1"/>
  <c r="D97" i="4"/>
  <c r="C97" i="4"/>
  <c r="L96" i="4"/>
  <c r="L104" i="4" s="1"/>
  <c r="K96" i="4"/>
  <c r="K104" i="4" s="1"/>
  <c r="J96" i="4"/>
  <c r="I96" i="4"/>
  <c r="H96" i="4"/>
  <c r="H104" i="4" s="1"/>
  <c r="G96" i="4"/>
  <c r="G104" i="4" s="1"/>
  <c r="F96" i="4"/>
  <c r="E96" i="4"/>
  <c r="D96" i="4"/>
  <c r="D104" i="4" s="1"/>
  <c r="C96" i="4"/>
  <c r="L92" i="4"/>
  <c r="K92" i="4"/>
  <c r="J92" i="4"/>
  <c r="I92" i="4"/>
  <c r="H92" i="4"/>
  <c r="G92" i="4"/>
  <c r="F92" i="4"/>
  <c r="E92" i="4"/>
  <c r="D92" i="4"/>
  <c r="C92" i="4"/>
  <c r="L91" i="4"/>
  <c r="K91" i="4"/>
  <c r="J91" i="4"/>
  <c r="I91" i="4"/>
  <c r="H91" i="4"/>
  <c r="G91" i="4"/>
  <c r="F91" i="4"/>
  <c r="E91" i="4"/>
  <c r="D91" i="4"/>
  <c r="C91" i="4"/>
  <c r="L90" i="4"/>
  <c r="K90" i="4"/>
  <c r="J90" i="4"/>
  <c r="I90" i="4"/>
  <c r="H90" i="4"/>
  <c r="G90" i="4"/>
  <c r="F90" i="4"/>
  <c r="E90" i="4"/>
  <c r="D90" i="4"/>
  <c r="C90" i="4"/>
  <c r="L89" i="4"/>
  <c r="K89" i="4"/>
  <c r="J89" i="4"/>
  <c r="I89" i="4"/>
  <c r="H89" i="4"/>
  <c r="G89" i="4"/>
  <c r="F89" i="4"/>
  <c r="E89" i="4"/>
  <c r="D89" i="4"/>
  <c r="C89" i="4"/>
  <c r="L88" i="4"/>
  <c r="K88" i="4"/>
  <c r="J88" i="4"/>
  <c r="I88" i="4"/>
  <c r="H88" i="4"/>
  <c r="G88" i="4"/>
  <c r="F88" i="4"/>
  <c r="E88" i="4"/>
  <c r="D88" i="4"/>
  <c r="C88" i="4"/>
  <c r="L87" i="4"/>
  <c r="K87" i="4"/>
  <c r="J87" i="4"/>
  <c r="I87" i="4"/>
  <c r="H87" i="4"/>
  <c r="G87" i="4"/>
  <c r="F87" i="4"/>
  <c r="E87" i="4"/>
  <c r="D87" i="4"/>
  <c r="C87" i="4"/>
  <c r="L86" i="4"/>
  <c r="K86" i="4"/>
  <c r="J86" i="4"/>
  <c r="I86" i="4"/>
  <c r="H86" i="4"/>
  <c r="G86" i="4"/>
  <c r="F86" i="4"/>
  <c r="E86" i="4"/>
  <c r="D86" i="4"/>
  <c r="C86" i="4"/>
  <c r="L85" i="4"/>
  <c r="K85" i="4"/>
  <c r="J85" i="4"/>
  <c r="I85" i="4"/>
  <c r="H85" i="4"/>
  <c r="G85" i="4"/>
  <c r="F85" i="4"/>
  <c r="E85" i="4"/>
  <c r="D85" i="4"/>
  <c r="C85" i="4"/>
  <c r="L84" i="4"/>
  <c r="K84" i="4"/>
  <c r="J84" i="4"/>
  <c r="I84" i="4"/>
  <c r="H84" i="4"/>
  <c r="G84" i="4"/>
  <c r="F84" i="4"/>
  <c r="E84" i="4"/>
  <c r="D84" i="4"/>
  <c r="C84" i="4"/>
  <c r="L83" i="4"/>
  <c r="K83" i="4"/>
  <c r="J83" i="4"/>
  <c r="I83" i="4"/>
  <c r="H83" i="4"/>
  <c r="G83" i="4"/>
  <c r="F83" i="4"/>
  <c r="E83" i="4"/>
  <c r="D83" i="4"/>
  <c r="C83" i="4"/>
  <c r="L82" i="4"/>
  <c r="K82" i="4"/>
  <c r="J82" i="4"/>
  <c r="I82" i="4"/>
  <c r="H82" i="4"/>
  <c r="G82" i="4"/>
  <c r="F82" i="4"/>
  <c r="E82" i="4"/>
  <c r="D82" i="4"/>
  <c r="C82" i="4"/>
  <c r="L78" i="4"/>
  <c r="K78" i="4"/>
  <c r="J78" i="4"/>
  <c r="I78" i="4"/>
  <c r="H78" i="4"/>
  <c r="G78" i="4"/>
  <c r="F78" i="4"/>
  <c r="E78" i="4"/>
  <c r="D78" i="4"/>
  <c r="C78" i="4"/>
  <c r="I104" i="4" l="1"/>
  <c r="D93" i="4"/>
  <c r="D106" i="4" s="1"/>
  <c r="H93" i="4"/>
  <c r="H106" i="4" s="1"/>
  <c r="L93" i="4"/>
  <c r="L106" i="4" s="1"/>
  <c r="F93" i="4"/>
  <c r="F106" i="4" s="1"/>
  <c r="J93" i="4"/>
  <c r="J106" i="4" s="1"/>
  <c r="E93" i="4"/>
  <c r="E106" i="4" s="1"/>
  <c r="I93" i="4"/>
  <c r="I106" i="4" s="1"/>
  <c r="G93" i="4"/>
  <c r="G106" i="4" s="1"/>
  <c r="K93" i="4"/>
  <c r="K106" i="4" s="1"/>
  <c r="C104" i="4"/>
  <c r="C93" i="4"/>
  <c r="C106" i="4" s="1"/>
  <c r="C40" i="6"/>
  <c r="L56" i="4"/>
  <c r="K56" i="4"/>
  <c r="J56" i="4"/>
  <c r="I56" i="4"/>
  <c r="H56" i="4"/>
  <c r="G56" i="4"/>
  <c r="F56" i="4"/>
  <c r="E56" i="4"/>
  <c r="D56" i="4"/>
  <c r="C56" i="4"/>
  <c r="L61" i="4"/>
  <c r="K61" i="4"/>
  <c r="J61" i="4"/>
  <c r="I61" i="4"/>
  <c r="H61" i="4"/>
  <c r="G61" i="4"/>
  <c r="F61" i="4"/>
  <c r="E61" i="4"/>
  <c r="D61" i="4"/>
  <c r="C61" i="4"/>
  <c r="L60" i="4"/>
  <c r="K60" i="4"/>
  <c r="J60" i="4"/>
  <c r="I60" i="4"/>
  <c r="I62" i="4" s="1"/>
  <c r="H60" i="4"/>
  <c r="G60" i="4"/>
  <c r="F60" i="4"/>
  <c r="E60" i="4"/>
  <c r="E62" i="4" s="1"/>
  <c r="D60" i="4"/>
  <c r="C60" i="4"/>
  <c r="L59" i="4"/>
  <c r="K59" i="4"/>
  <c r="K62" i="4" s="1"/>
  <c r="J59" i="4"/>
  <c r="I59" i="4"/>
  <c r="H59" i="4"/>
  <c r="G59" i="4"/>
  <c r="G62" i="4" s="1"/>
  <c r="F59" i="4"/>
  <c r="E59" i="4"/>
  <c r="D59" i="4"/>
  <c r="C59" i="4"/>
  <c r="C62" i="4" s="1"/>
  <c r="L55" i="4"/>
  <c r="K55" i="4"/>
  <c r="J55" i="4"/>
  <c r="I55" i="4"/>
  <c r="H55" i="4"/>
  <c r="G55" i="4"/>
  <c r="F55" i="4"/>
  <c r="E55" i="4"/>
  <c r="D55" i="4"/>
  <c r="C55" i="4"/>
  <c r="L54" i="4"/>
  <c r="K54" i="4"/>
  <c r="J54" i="4"/>
  <c r="I54" i="4"/>
  <c r="H54" i="4"/>
  <c r="G54" i="4"/>
  <c r="F54" i="4"/>
  <c r="E54" i="4"/>
  <c r="D54" i="4"/>
  <c r="C54" i="4"/>
  <c r="L53" i="4"/>
  <c r="K53" i="4"/>
  <c r="J53" i="4"/>
  <c r="J57" i="4" s="1"/>
  <c r="I53" i="4"/>
  <c r="I57" i="4" s="1"/>
  <c r="I64" i="4" s="1"/>
  <c r="H53" i="4"/>
  <c r="G53" i="4"/>
  <c r="F53" i="4"/>
  <c r="F57" i="4" s="1"/>
  <c r="E53" i="4"/>
  <c r="E57" i="4" s="1"/>
  <c r="D53" i="4"/>
  <c r="C53" i="4"/>
  <c r="L50" i="4"/>
  <c r="K50" i="4"/>
  <c r="J50" i="4"/>
  <c r="I50" i="4"/>
  <c r="H50" i="4"/>
  <c r="G50" i="4"/>
  <c r="F50" i="4"/>
  <c r="E50" i="4"/>
  <c r="D50" i="4"/>
  <c r="C50" i="4"/>
  <c r="L49" i="4"/>
  <c r="L40" i="6" s="1"/>
  <c r="K49" i="4"/>
  <c r="K40" i="6" s="1"/>
  <c r="J49" i="4"/>
  <c r="J40" i="6" s="1"/>
  <c r="I49" i="4"/>
  <c r="I40" i="6" s="1"/>
  <c r="H49" i="4"/>
  <c r="H40" i="6" s="1"/>
  <c r="G49" i="4"/>
  <c r="G40" i="6" s="1"/>
  <c r="F49" i="4"/>
  <c r="F40" i="6" s="1"/>
  <c r="E49" i="4"/>
  <c r="E40" i="6" s="1"/>
  <c r="D49" i="4"/>
  <c r="D40" i="6" s="1"/>
  <c r="C49" i="4"/>
  <c r="L48" i="4"/>
  <c r="K48" i="4"/>
  <c r="J48" i="4"/>
  <c r="I48" i="4"/>
  <c r="H48" i="4"/>
  <c r="G48" i="4"/>
  <c r="F48" i="4"/>
  <c r="E48" i="4"/>
  <c r="D48" i="4"/>
  <c r="C48" i="4"/>
  <c r="L47" i="4"/>
  <c r="K47" i="4"/>
  <c r="J47" i="4"/>
  <c r="J51" i="4" s="1"/>
  <c r="I47" i="4"/>
  <c r="I51" i="4" s="1"/>
  <c r="H47" i="4"/>
  <c r="G47" i="4"/>
  <c r="F47" i="4"/>
  <c r="F51" i="4" s="1"/>
  <c r="E47" i="4"/>
  <c r="E51" i="4" s="1"/>
  <c r="D47" i="4"/>
  <c r="C47" i="4"/>
  <c r="C35" i="4"/>
  <c r="C40" i="4" s="1"/>
  <c r="M40" i="4"/>
  <c r="E40" i="4"/>
  <c r="D40" i="4"/>
  <c r="M35" i="4"/>
  <c r="L35" i="4"/>
  <c r="L40" i="4" s="1"/>
  <c r="K35" i="4"/>
  <c r="K40" i="4" s="1"/>
  <c r="J35" i="4"/>
  <c r="J40" i="4" s="1"/>
  <c r="I35" i="4"/>
  <c r="I40" i="4" s="1"/>
  <c r="H35" i="4"/>
  <c r="H40" i="4" s="1"/>
  <c r="G35" i="4"/>
  <c r="G40" i="4" s="1"/>
  <c r="F35" i="4"/>
  <c r="F40" i="4" s="1"/>
  <c r="F9" i="6" s="1"/>
  <c r="E35" i="4"/>
  <c r="D35" i="4"/>
  <c r="M29" i="4"/>
  <c r="L29" i="4"/>
  <c r="K29" i="4"/>
  <c r="J29" i="4"/>
  <c r="I29" i="4"/>
  <c r="H29" i="4"/>
  <c r="G29" i="4"/>
  <c r="F29" i="4"/>
  <c r="E29" i="4"/>
  <c r="D29" i="4"/>
  <c r="C29" i="4"/>
  <c r="O40" i="6" l="1"/>
  <c r="N40" i="6"/>
  <c r="C51" i="4"/>
  <c r="G51" i="4"/>
  <c r="K51" i="4"/>
  <c r="C57" i="4"/>
  <c r="D62" i="4"/>
  <c r="D64" i="4" s="1"/>
  <c r="H62" i="4"/>
  <c r="L62" i="4"/>
  <c r="L64" i="4" s="1"/>
  <c r="F62" i="4"/>
  <c r="F64" i="4" s="1"/>
  <c r="J62" i="4"/>
  <c r="J9" i="6"/>
  <c r="D51" i="4"/>
  <c r="H51" i="4"/>
  <c r="L51" i="4"/>
  <c r="G57" i="4"/>
  <c r="K57" i="4"/>
  <c r="I66" i="4"/>
  <c r="I39" i="6"/>
  <c r="K9" i="6"/>
  <c r="L9" i="6"/>
  <c r="G9" i="6"/>
  <c r="D9" i="6"/>
  <c r="H9" i="6"/>
  <c r="E9" i="6"/>
  <c r="D57" i="4"/>
  <c r="H57" i="4"/>
  <c r="E64" i="4"/>
  <c r="I9" i="6"/>
  <c r="L57" i="4"/>
  <c r="J64" i="4"/>
  <c r="G64" i="4"/>
  <c r="K64" i="4"/>
  <c r="H64" i="4"/>
  <c r="C64" i="4"/>
  <c r="L23" i="4"/>
  <c r="K23" i="4"/>
  <c r="J23" i="4"/>
  <c r="I23" i="4"/>
  <c r="H23" i="4"/>
  <c r="G23" i="4"/>
  <c r="F23" i="4"/>
  <c r="E23" i="4"/>
  <c r="D23" i="4"/>
  <c r="M23" i="4"/>
  <c r="C23" i="4"/>
  <c r="M20" i="4"/>
  <c r="L20" i="4"/>
  <c r="K20" i="4"/>
  <c r="J20" i="4"/>
  <c r="I20" i="4"/>
  <c r="H20" i="4"/>
  <c r="G20" i="4"/>
  <c r="F20" i="4"/>
  <c r="E20" i="4"/>
  <c r="D20" i="4"/>
  <c r="C20" i="4"/>
  <c r="M17" i="4"/>
  <c r="F66" i="4" l="1"/>
  <c r="F39" i="6"/>
  <c r="M26" i="4"/>
  <c r="M32" i="4" s="1"/>
  <c r="O9" i="6"/>
  <c r="N9" i="6"/>
  <c r="K66" i="4"/>
  <c r="K39" i="6"/>
  <c r="L66" i="4"/>
  <c r="L39" i="6"/>
  <c r="E66" i="4"/>
  <c r="E39" i="6"/>
  <c r="H66" i="4"/>
  <c r="H39" i="6"/>
  <c r="C66" i="4"/>
  <c r="C39" i="6"/>
  <c r="G66" i="4"/>
  <c r="G39" i="6"/>
  <c r="J66" i="4"/>
  <c r="J39" i="6"/>
  <c r="D66" i="4"/>
  <c r="D39" i="6"/>
  <c r="M14" i="4"/>
  <c r="L14" i="4"/>
  <c r="K14" i="4"/>
  <c r="J14" i="4"/>
  <c r="I14" i="4"/>
  <c r="H14" i="4"/>
  <c r="G14" i="4"/>
  <c r="F14" i="4"/>
  <c r="E14" i="4"/>
  <c r="D14" i="4"/>
  <c r="C14" i="4"/>
  <c r="M8" i="4"/>
  <c r="L8" i="4"/>
  <c r="K8" i="4"/>
  <c r="J8" i="4"/>
  <c r="I8" i="4"/>
  <c r="H8" i="4"/>
  <c r="G8" i="4"/>
  <c r="F8" i="4"/>
  <c r="E8" i="4"/>
  <c r="D8" i="4"/>
  <c r="C8" i="4"/>
  <c r="C8" i="2"/>
  <c r="M5" i="4"/>
  <c r="C5" i="4"/>
  <c r="D5" i="4"/>
  <c r="E5" i="4"/>
  <c r="F5" i="4"/>
  <c r="G5" i="4"/>
  <c r="H5" i="4"/>
  <c r="I5" i="4"/>
  <c r="J5" i="4"/>
  <c r="K5" i="4"/>
  <c r="L5" i="4"/>
  <c r="D3" i="4"/>
  <c r="E3" i="4"/>
  <c r="F3" i="4"/>
  <c r="G3" i="4"/>
  <c r="H3" i="4"/>
  <c r="I3" i="4"/>
  <c r="J3" i="4"/>
  <c r="K3" i="4"/>
  <c r="L3" i="4"/>
  <c r="C3" i="4"/>
  <c r="E1" i="2"/>
  <c r="B6" i="2"/>
  <c r="O39" i="6" l="1"/>
  <c r="N39" i="6"/>
  <c r="I9" i="4"/>
  <c r="L28" i="6"/>
  <c r="L34" i="6" s="1"/>
  <c r="L31" i="6"/>
  <c r="L27" i="6"/>
  <c r="L33" i="6" s="1"/>
  <c r="L30" i="6"/>
  <c r="L29" i="6"/>
  <c r="L35" i="6" s="1"/>
  <c r="L38" i="6"/>
  <c r="L30" i="4"/>
  <c r="H28" i="6"/>
  <c r="H34" i="6" s="1"/>
  <c r="H31" i="6"/>
  <c r="H27" i="6"/>
  <c r="H33" i="6" s="1"/>
  <c r="H30" i="6"/>
  <c r="H29" i="6"/>
  <c r="H35" i="6" s="1"/>
  <c r="H38" i="6"/>
  <c r="H30" i="4"/>
  <c r="D28" i="6"/>
  <c r="D34" i="6" s="1"/>
  <c r="D31" i="6"/>
  <c r="D27" i="6"/>
  <c r="D33" i="6" s="1"/>
  <c r="D30" i="6"/>
  <c r="D29" i="6"/>
  <c r="D35" i="6" s="1"/>
  <c r="D38" i="6"/>
  <c r="D30" i="4"/>
  <c r="G9" i="4"/>
  <c r="G29" i="6"/>
  <c r="G35" i="6" s="1"/>
  <c r="G28" i="6"/>
  <c r="G34" i="6" s="1"/>
  <c r="G31" i="6"/>
  <c r="G27" i="6"/>
  <c r="G33" i="6" s="1"/>
  <c r="G30" i="6"/>
  <c r="G38" i="6"/>
  <c r="G30" i="4"/>
  <c r="C15" i="4"/>
  <c r="C17" i="6" s="1"/>
  <c r="C29" i="6"/>
  <c r="C28" i="6"/>
  <c r="C31" i="6"/>
  <c r="C27" i="6"/>
  <c r="C30" i="6"/>
  <c r="C38" i="6"/>
  <c r="C30" i="4"/>
  <c r="F30" i="6"/>
  <c r="F29" i="6"/>
  <c r="F35" i="6" s="1"/>
  <c r="F28" i="6"/>
  <c r="F34" i="6" s="1"/>
  <c r="F31" i="6"/>
  <c r="F27" i="6"/>
  <c r="F33" i="6" s="1"/>
  <c r="F38" i="6"/>
  <c r="F30" i="4"/>
  <c r="M6" i="4"/>
  <c r="M30" i="4"/>
  <c r="K15" i="4"/>
  <c r="K17" i="6" s="1"/>
  <c r="K29" i="6"/>
  <c r="K35" i="6" s="1"/>
  <c r="K28" i="6"/>
  <c r="K34" i="6" s="1"/>
  <c r="K31" i="6"/>
  <c r="K27" i="6"/>
  <c r="K33" i="6" s="1"/>
  <c r="K30" i="6"/>
  <c r="K38" i="6"/>
  <c r="K30" i="4"/>
  <c r="J30" i="6"/>
  <c r="J29" i="6"/>
  <c r="J35" i="6" s="1"/>
  <c r="J28" i="6"/>
  <c r="J34" i="6" s="1"/>
  <c r="J31" i="6"/>
  <c r="J27" i="6"/>
  <c r="J33" i="6" s="1"/>
  <c r="J38" i="6"/>
  <c r="J30" i="4"/>
  <c r="I31" i="6"/>
  <c r="I27" i="6"/>
  <c r="I33" i="6" s="1"/>
  <c r="I30" i="6"/>
  <c r="I29" i="6"/>
  <c r="I35" i="6" s="1"/>
  <c r="I28" i="6"/>
  <c r="I34" i="6" s="1"/>
  <c r="I30" i="4"/>
  <c r="I38" i="6"/>
  <c r="E31" i="6"/>
  <c r="E27" i="6"/>
  <c r="E33" i="6" s="1"/>
  <c r="E30" i="6"/>
  <c r="E29" i="6"/>
  <c r="E35" i="6" s="1"/>
  <c r="E28" i="6"/>
  <c r="E34" i="6" s="1"/>
  <c r="E38" i="6"/>
  <c r="E30" i="4"/>
  <c r="M27" i="4"/>
  <c r="M33" i="4"/>
  <c r="M37" i="4"/>
  <c r="M41" i="4" s="1"/>
  <c r="M43" i="4" s="1"/>
  <c r="M9" i="4"/>
  <c r="J15" i="4"/>
  <c r="J17" i="6" s="1"/>
  <c r="G15" i="4"/>
  <c r="G17" i="6" s="1"/>
  <c r="F15" i="4"/>
  <c r="F17" i="6" s="1"/>
  <c r="K9" i="4"/>
  <c r="E9" i="4"/>
  <c r="H15" i="4"/>
  <c r="H17" i="6" s="1"/>
  <c r="D9" i="4"/>
  <c r="H9" i="4"/>
  <c r="L9" i="4"/>
  <c r="E15" i="4"/>
  <c r="E17" i="6" s="1"/>
  <c r="I15" i="4"/>
  <c r="I17" i="6" s="1"/>
  <c r="I24" i="4"/>
  <c r="I18" i="6" s="1"/>
  <c r="I21" i="4"/>
  <c r="E6" i="4"/>
  <c r="E5" i="6" s="1"/>
  <c r="H11" i="4"/>
  <c r="L21" i="4"/>
  <c r="L24" i="4"/>
  <c r="L18" i="6" s="1"/>
  <c r="D21" i="4"/>
  <c r="D24" i="4"/>
  <c r="D18" i="6" s="1"/>
  <c r="H6" i="4"/>
  <c r="H5" i="6" s="1"/>
  <c r="I11" i="4"/>
  <c r="K24" i="4"/>
  <c r="K18" i="6" s="1"/>
  <c r="K21" i="4"/>
  <c r="G24" i="4"/>
  <c r="G18" i="6" s="1"/>
  <c r="G21" i="4"/>
  <c r="C24" i="4"/>
  <c r="C18" i="6" s="1"/>
  <c r="C21" i="4"/>
  <c r="K6" i="4"/>
  <c r="K5" i="6" s="1"/>
  <c r="G6" i="4"/>
  <c r="G5" i="6" s="1"/>
  <c r="D11" i="4"/>
  <c r="L11" i="4"/>
  <c r="F9" i="4"/>
  <c r="J9" i="4"/>
  <c r="D15" i="4"/>
  <c r="D17" i="6" s="1"/>
  <c r="L15" i="4"/>
  <c r="L17" i="6" s="1"/>
  <c r="E21" i="4"/>
  <c r="E24" i="4"/>
  <c r="E18" i="6" s="1"/>
  <c r="I6" i="4"/>
  <c r="I5" i="6" s="1"/>
  <c r="H21" i="4"/>
  <c r="H24" i="4"/>
  <c r="H18" i="6" s="1"/>
  <c r="L6" i="4"/>
  <c r="L5" i="6" s="1"/>
  <c r="D6" i="4"/>
  <c r="D5" i="6" s="1"/>
  <c r="J24" i="4"/>
  <c r="J18" i="6" s="1"/>
  <c r="J21" i="4"/>
  <c r="F24" i="4"/>
  <c r="F18" i="6" s="1"/>
  <c r="F21" i="4"/>
  <c r="M24" i="4"/>
  <c r="M18" i="4"/>
  <c r="M21" i="4"/>
  <c r="J6" i="4"/>
  <c r="J5" i="6" s="1"/>
  <c r="F6" i="4"/>
  <c r="F5" i="6" s="1"/>
  <c r="E11" i="4"/>
  <c r="C9" i="4"/>
  <c r="G11" i="4"/>
  <c r="K11" i="4"/>
  <c r="M11" i="4"/>
  <c r="M12" i="4" s="1"/>
  <c r="F11" i="4"/>
  <c r="J11" i="4"/>
  <c r="C11" i="4"/>
  <c r="N18" i="6" l="1"/>
  <c r="O18" i="6"/>
  <c r="O38" i="6"/>
  <c r="N38" i="6"/>
  <c r="C34" i="6"/>
  <c r="C36" i="6" s="1"/>
  <c r="N28" i="6"/>
  <c r="O28" i="6"/>
  <c r="N5" i="6"/>
  <c r="I36" i="6"/>
  <c r="O30" i="6"/>
  <c r="N30" i="6"/>
  <c r="C35" i="6"/>
  <c r="O29" i="6"/>
  <c r="N29" i="6"/>
  <c r="L36" i="6"/>
  <c r="O31" i="6"/>
  <c r="N31" i="6"/>
  <c r="C33" i="6"/>
  <c r="O27" i="6"/>
  <c r="N27" i="6"/>
  <c r="O17" i="6"/>
  <c r="N17" i="6"/>
  <c r="G36" i="6"/>
  <c r="E36" i="6"/>
  <c r="F36" i="6"/>
  <c r="H36" i="6"/>
  <c r="J36" i="6"/>
  <c r="K36" i="6"/>
  <c r="D36" i="6"/>
  <c r="C17" i="4"/>
  <c r="I6" i="7" s="1" a="1"/>
  <c r="C12" i="4"/>
  <c r="C11" i="6" s="1"/>
  <c r="K17" i="4"/>
  <c r="K12" i="4"/>
  <c r="K11" i="6" s="1"/>
  <c r="L17" i="4"/>
  <c r="L12" i="4"/>
  <c r="L11" i="6" s="1"/>
  <c r="H17" i="4"/>
  <c r="H12" i="4"/>
  <c r="H11" i="6" s="1"/>
  <c r="J17" i="4"/>
  <c r="J12" i="4"/>
  <c r="J11" i="6" s="1"/>
  <c r="G17" i="4"/>
  <c r="G12" i="4"/>
  <c r="G11" i="6" s="1"/>
  <c r="D17" i="4"/>
  <c r="D12" i="4"/>
  <c r="D11" i="6" s="1"/>
  <c r="F17" i="4"/>
  <c r="F12" i="4"/>
  <c r="F11" i="6" s="1"/>
  <c r="I17" i="4"/>
  <c r="I12" i="4"/>
  <c r="I11" i="6" s="1"/>
  <c r="E17" i="4"/>
  <c r="E12" i="4"/>
  <c r="E11" i="6" s="1"/>
  <c r="N11" i="6" l="1"/>
  <c r="O11" i="6"/>
  <c r="N33" i="6"/>
  <c r="O33" i="6"/>
  <c r="I6" i="7"/>
  <c r="I8" i="7"/>
  <c r="I14" i="7"/>
  <c r="I13" i="7"/>
  <c r="J13" i="7" s="1"/>
  <c r="I10" i="7"/>
  <c r="I12" i="7"/>
  <c r="I7" i="7"/>
  <c r="J7" i="7" s="1"/>
  <c r="I15" i="7"/>
  <c r="J15" i="7" s="1"/>
  <c r="I9" i="7"/>
  <c r="I11" i="7"/>
  <c r="J11" i="7" s="1"/>
  <c r="O35" i="6"/>
  <c r="N35" i="6"/>
  <c r="O34" i="6"/>
  <c r="N34" i="6"/>
  <c r="N36" i="6"/>
  <c r="O36" i="6"/>
  <c r="I25" i="6"/>
  <c r="I21" i="6"/>
  <c r="I13" i="6"/>
  <c r="I19" i="6" s="1"/>
  <c r="I6" i="6"/>
  <c r="J25" i="6"/>
  <c r="J21" i="6"/>
  <c r="J13" i="6"/>
  <c r="J19" i="6" s="1"/>
  <c r="J6" i="6"/>
  <c r="C25" i="6"/>
  <c r="C21" i="6"/>
  <c r="C13" i="6"/>
  <c r="F25" i="6"/>
  <c r="F21" i="6"/>
  <c r="F13" i="6"/>
  <c r="F19" i="6" s="1"/>
  <c r="F6" i="6"/>
  <c r="H25" i="6"/>
  <c r="H13" i="6"/>
  <c r="H19" i="6" s="1"/>
  <c r="H21" i="6"/>
  <c r="H6" i="6"/>
  <c r="D25" i="6"/>
  <c r="D6" i="6"/>
  <c r="D21" i="6"/>
  <c r="D13" i="6"/>
  <c r="L25" i="6"/>
  <c r="L21" i="6"/>
  <c r="L6" i="6"/>
  <c r="L13" i="6"/>
  <c r="L19" i="6" s="1"/>
  <c r="E25" i="6"/>
  <c r="E6" i="6"/>
  <c r="E21" i="6"/>
  <c r="E13" i="6"/>
  <c r="E19" i="6" s="1"/>
  <c r="G25" i="6"/>
  <c r="G6" i="6"/>
  <c r="G13" i="6"/>
  <c r="G19" i="6" s="1"/>
  <c r="G21" i="6"/>
  <c r="K25" i="6"/>
  <c r="K6" i="6"/>
  <c r="K21" i="6"/>
  <c r="K13" i="6"/>
  <c r="K19" i="6" s="1"/>
  <c r="E18" i="4"/>
  <c r="E12" i="6" s="1"/>
  <c r="E26" i="4"/>
  <c r="F18" i="4"/>
  <c r="F12" i="6" s="1"/>
  <c r="F26" i="4"/>
  <c r="G18" i="4"/>
  <c r="G12" i="6" s="1"/>
  <c r="G26" i="4"/>
  <c r="H18" i="4"/>
  <c r="H12" i="6" s="1"/>
  <c r="H26" i="4"/>
  <c r="K18" i="4"/>
  <c r="K12" i="6" s="1"/>
  <c r="K26" i="4"/>
  <c r="I18" i="4"/>
  <c r="I12" i="6" s="1"/>
  <c r="I26" i="4"/>
  <c r="D18" i="4"/>
  <c r="D12" i="6" s="1"/>
  <c r="N12" i="6" s="1"/>
  <c r="D26" i="4"/>
  <c r="J18" i="4"/>
  <c r="J12" i="6" s="1"/>
  <c r="J26" i="4"/>
  <c r="L18" i="4"/>
  <c r="L12" i="6" s="1"/>
  <c r="L26" i="4"/>
  <c r="C18" i="4"/>
  <c r="C12" i="6" s="1"/>
  <c r="C26" i="4"/>
  <c r="C32" i="4" l="1"/>
  <c r="C23" i="6" s="1"/>
  <c r="N6" i="7" a="1"/>
  <c r="D19" i="6"/>
  <c r="N13" i="6"/>
  <c r="C19" i="6"/>
  <c r="O13" i="6"/>
  <c r="J14" i="7"/>
  <c r="O12" i="6"/>
  <c r="O21" i="6"/>
  <c r="N21" i="6"/>
  <c r="J12" i="7"/>
  <c r="J8" i="7"/>
  <c r="O6" i="6"/>
  <c r="N6" i="6"/>
  <c r="O25" i="6"/>
  <c r="N25" i="6"/>
  <c r="J9" i="7"/>
  <c r="J10" i="7"/>
  <c r="I22" i="7"/>
  <c r="I18" i="7"/>
  <c r="J18" i="7" s="1"/>
  <c r="I20" i="7"/>
  <c r="I19" i="7"/>
  <c r="I17" i="7"/>
  <c r="I16" i="7"/>
  <c r="J16" i="7" s="1"/>
  <c r="I21" i="7"/>
  <c r="J21" i="7" s="1"/>
  <c r="I7" i="6"/>
  <c r="I32" i="4"/>
  <c r="F32" i="4"/>
  <c r="F7" i="6"/>
  <c r="J7" i="6"/>
  <c r="J32" i="4"/>
  <c r="H32" i="4"/>
  <c r="H7" i="6"/>
  <c r="L32" i="4"/>
  <c r="L7" i="6"/>
  <c r="D32" i="4"/>
  <c r="D7" i="6"/>
  <c r="K7" i="6"/>
  <c r="K32" i="4"/>
  <c r="G7" i="6"/>
  <c r="G32" i="4"/>
  <c r="E7" i="6"/>
  <c r="E32" i="4"/>
  <c r="L27" i="4"/>
  <c r="L14" i="6" s="1"/>
  <c r="C27" i="4"/>
  <c r="C14" i="6" s="1"/>
  <c r="J27" i="4"/>
  <c r="J14" i="6" s="1"/>
  <c r="I27" i="4"/>
  <c r="I14" i="6" s="1"/>
  <c r="H27" i="4"/>
  <c r="H14" i="6" s="1"/>
  <c r="F27" i="4"/>
  <c r="F14" i="6" s="1"/>
  <c r="D27" i="4"/>
  <c r="D14" i="6" s="1"/>
  <c r="K27" i="4"/>
  <c r="K14" i="6" s="1"/>
  <c r="E27" i="4"/>
  <c r="E14" i="6" s="1"/>
  <c r="G27" i="4"/>
  <c r="G14" i="6" s="1"/>
  <c r="J17" i="7" l="1"/>
  <c r="J22" i="7"/>
  <c r="N14" i="6"/>
  <c r="J19" i="7"/>
  <c r="N6" i="7"/>
  <c r="N8" i="7"/>
  <c r="N14" i="7"/>
  <c r="N15" i="7"/>
  <c r="N13" i="7"/>
  <c r="O13" i="7" s="1"/>
  <c r="N7" i="7"/>
  <c r="N9" i="7"/>
  <c r="N10" i="7"/>
  <c r="O10" i="7" s="1"/>
  <c r="N11" i="7"/>
  <c r="O11" i="7" s="1"/>
  <c r="N12" i="7"/>
  <c r="O14" i="6"/>
  <c r="O7" i="6"/>
  <c r="N7" i="6"/>
  <c r="J20" i="7"/>
  <c r="O19" i="6"/>
  <c r="N19" i="6"/>
  <c r="G23" i="6"/>
  <c r="G8" i="6"/>
  <c r="D8" i="6"/>
  <c r="D23" i="6"/>
  <c r="O23" i="6" s="1"/>
  <c r="H8" i="6"/>
  <c r="H23" i="6"/>
  <c r="F23" i="6"/>
  <c r="F8" i="6"/>
  <c r="E8" i="6"/>
  <c r="E23" i="6"/>
  <c r="N23" i="6" s="1"/>
  <c r="K8" i="6"/>
  <c r="K23" i="6"/>
  <c r="J23" i="6"/>
  <c r="J8" i="6"/>
  <c r="I8" i="6"/>
  <c r="I23" i="6"/>
  <c r="L8" i="6"/>
  <c r="L23" i="6"/>
  <c r="C33" i="4"/>
  <c r="C15" i="6" s="1"/>
  <c r="C37" i="4"/>
  <c r="K33" i="4"/>
  <c r="K15" i="6" s="1"/>
  <c r="K37" i="4"/>
  <c r="I37" i="4"/>
  <c r="I33" i="4"/>
  <c r="I15" i="6" s="1"/>
  <c r="E33" i="4"/>
  <c r="E15" i="6" s="1"/>
  <c r="E37" i="4"/>
  <c r="D37" i="4"/>
  <c r="D33" i="4"/>
  <c r="D15" i="6" s="1"/>
  <c r="H37" i="4"/>
  <c r="H33" i="4"/>
  <c r="H15" i="6" s="1"/>
  <c r="J33" i="4"/>
  <c r="J15" i="6" s="1"/>
  <c r="J37" i="4"/>
  <c r="L37" i="4"/>
  <c r="L33" i="4"/>
  <c r="L15" i="6" s="1"/>
  <c r="G33" i="4"/>
  <c r="G15" i="6" s="1"/>
  <c r="G37" i="4"/>
  <c r="F33" i="4"/>
  <c r="F15" i="6" s="1"/>
  <c r="F37" i="4"/>
  <c r="O15" i="7" l="1"/>
  <c r="O14" i="7"/>
  <c r="O15" i="6"/>
  <c r="N15" i="6"/>
  <c r="O12" i="7"/>
  <c r="O7" i="7"/>
  <c r="O9" i="7"/>
  <c r="O8" i="7"/>
  <c r="O8" i="6"/>
  <c r="N8" i="6"/>
  <c r="N22" i="7"/>
  <c r="O22" i="7" s="1"/>
  <c r="N18" i="7"/>
  <c r="O18" i="7" s="1"/>
  <c r="N21" i="7"/>
  <c r="N17" i="7"/>
  <c r="N20" i="7"/>
  <c r="O20" i="7" s="1"/>
  <c r="O16" i="7"/>
  <c r="N19" i="7"/>
  <c r="E38" i="4"/>
  <c r="E41" i="4" s="1"/>
  <c r="E43" i="4" s="1"/>
  <c r="E22" i="6" s="1"/>
  <c r="E24" i="6" s="1"/>
  <c r="L38" i="4"/>
  <c r="L41" i="4" s="1"/>
  <c r="L43" i="4" s="1"/>
  <c r="L22" i="6" s="1"/>
  <c r="L24" i="6" s="1"/>
  <c r="M38" i="4"/>
  <c r="J38" i="4"/>
  <c r="J41" i="4" s="1"/>
  <c r="J43" i="4" s="1"/>
  <c r="J22" i="6" s="1"/>
  <c r="J24" i="6" s="1"/>
  <c r="C38" i="4"/>
  <c r="C41" i="4"/>
  <c r="C43" i="4" s="1"/>
  <c r="C22" i="6" s="1"/>
  <c r="F38" i="4"/>
  <c r="F41" i="4"/>
  <c r="F43" i="4" s="1"/>
  <c r="F22" i="6" s="1"/>
  <c r="F24" i="6" s="1"/>
  <c r="K38" i="4"/>
  <c r="K41" i="4"/>
  <c r="K43" i="4" s="1"/>
  <c r="K22" i="6" s="1"/>
  <c r="K24" i="6" s="1"/>
  <c r="H38" i="4"/>
  <c r="H41" i="4" s="1"/>
  <c r="H43" i="4" s="1"/>
  <c r="H22" i="6" s="1"/>
  <c r="H24" i="6" s="1"/>
  <c r="G38" i="4"/>
  <c r="G41" i="4"/>
  <c r="G43" i="4" s="1"/>
  <c r="G22" i="6" s="1"/>
  <c r="G24" i="6" s="1"/>
  <c r="D38" i="4"/>
  <c r="D41" i="4" s="1"/>
  <c r="D43" i="4" s="1"/>
  <c r="D22" i="6" s="1"/>
  <c r="D24" i="6" s="1"/>
  <c r="I38" i="4"/>
  <c r="I41" i="4"/>
  <c r="I43" i="4" s="1"/>
  <c r="I22" i="6" s="1"/>
  <c r="I24" i="6" s="1"/>
  <c r="C24" i="6" l="1"/>
  <c r="O22" i="6"/>
  <c r="N22" i="6"/>
  <c r="O17" i="7"/>
  <c r="O19" i="7"/>
  <c r="O21" i="7"/>
  <c r="O24" i="6" l="1"/>
  <c r="N24" i="6"/>
</calcChain>
</file>

<file path=xl/sharedStrings.xml><?xml version="1.0" encoding="utf-8"?>
<sst xmlns="http://schemas.openxmlformats.org/spreadsheetml/2006/main" count="230" uniqueCount="159">
  <si>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</si>
  <si>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</si>
  <si>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</si>
  <si>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</si>
  <si>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</si>
  <si>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</si>
  <si>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</si>
  <si>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</si>
  <si>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</si>
  <si>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</si>
  <si>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</si>
  <si>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</si>
  <si>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</si>
  <si>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</si>
  <si>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</si>
  <si>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</si>
  <si>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</si>
  <si>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</si>
  <si>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</si>
  <si>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</si>
  <si>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</si>
  <si>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</si>
  <si>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</si>
  <si>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</si>
  <si>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</si>
  <si>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</si>
  <si>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</si>
  <si>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</si>
  <si>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</si>
  <si>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</si>
  <si>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</si>
  <si>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</si>
  <si>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</si>
  <si>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</si>
  <si>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</si>
  <si>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</si>
  <si>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</si>
  <si>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</si>
  <si>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</si>
  <si>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</si>
  <si>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</si>
  <si>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</si>
  <si>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</si>
  <si>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</si>
  <si>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</si>
  <si>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</si>
  <si>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</si>
  <si>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</si>
  <si>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</si>
  <si>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</si>
  <si>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</si>
  <si>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</si>
  <si>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MPHASIS LTD</t>
  </si>
  <si>
    <t>COMPANY NAME</t>
  </si>
  <si>
    <t>Years</t>
  </si>
  <si>
    <t>Income Statement</t>
  </si>
  <si>
    <t>#</t>
  </si>
  <si>
    <t>LTM</t>
  </si>
  <si>
    <t>Sales Growth</t>
  </si>
  <si>
    <t>-</t>
  </si>
  <si>
    <t>COGS % Sales</t>
  </si>
  <si>
    <t>Gross Profit</t>
  </si>
  <si>
    <t>COGS</t>
  </si>
  <si>
    <t>Selling &amp; General Exp</t>
  </si>
  <si>
    <t>S &amp; G Exp % Sales</t>
  </si>
  <si>
    <t>EBITDA</t>
  </si>
  <si>
    <t>EBITDA Margins</t>
  </si>
  <si>
    <t>Interest % Sales</t>
  </si>
  <si>
    <t>Depreciation % Sales</t>
  </si>
  <si>
    <t>Gross Profit % Sales</t>
  </si>
  <si>
    <t>Earning Before Tax</t>
  </si>
  <si>
    <t>EBT % Sales</t>
  </si>
  <si>
    <t>Taxes</t>
  </si>
  <si>
    <t>Tax % Sales</t>
  </si>
  <si>
    <t>Net Profit</t>
  </si>
  <si>
    <t>Net Margin</t>
  </si>
  <si>
    <t>No.of Equity Shares</t>
  </si>
  <si>
    <t>EPS</t>
  </si>
  <si>
    <t>EPS % Growth</t>
  </si>
  <si>
    <t>Dividend Per Share</t>
  </si>
  <si>
    <t>Retained Earning</t>
  </si>
  <si>
    <t>Balance Sheet</t>
  </si>
  <si>
    <t>Profit from operations</t>
  </si>
  <si>
    <t>Payables</t>
  </si>
  <si>
    <t>Loans Advances</t>
  </si>
  <si>
    <t>Other WC items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</si>
  <si>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</si>
  <si>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</si>
  <si>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</si>
  <si>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</si>
  <si>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</si>
  <si>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</si>
  <si>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</si>
  <si>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</si>
  <si>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</si>
  <si>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</si>
  <si>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</si>
  <si>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</si>
  <si>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</si>
  <si>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</si>
  <si>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</si>
  <si>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</si>
  <si>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</si>
  <si>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</si>
  <si>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</si>
  <si>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</si>
  <si>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</si>
  <si>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</si>
  <si>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</si>
  <si>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Total Liability</t>
  </si>
  <si>
    <t>Fixed Asset Net Block</t>
  </si>
  <si>
    <t>Total Non Current Asset</t>
  </si>
  <si>
    <t>Total Curent Assets</t>
  </si>
  <si>
    <t>Total Assets</t>
  </si>
  <si>
    <t>Check</t>
  </si>
  <si>
    <t>Cash Flow Statements</t>
  </si>
  <si>
    <t>Operating activities</t>
  </si>
  <si>
    <t>Cash From Operating Activities</t>
  </si>
  <si>
    <t>Investing Activity</t>
  </si>
  <si>
    <t>Financing Activity</t>
  </si>
  <si>
    <t>Cash From Financing activity</t>
  </si>
  <si>
    <t>Dividend Growth</t>
  </si>
  <si>
    <t>Net Profit Growth</t>
  </si>
  <si>
    <t>EBT Growth</t>
  </si>
  <si>
    <t>EBITDA Growth</t>
  </si>
  <si>
    <t>Gross Margin</t>
  </si>
  <si>
    <t>Net Profit Margin</t>
  </si>
  <si>
    <t>EBITDA Margin</t>
  </si>
  <si>
    <t>EBIT Margin</t>
  </si>
  <si>
    <t>EBT Margin</t>
  </si>
  <si>
    <t>Sales Expenses% sales</t>
  </si>
  <si>
    <t>Depreciation%sales</t>
  </si>
  <si>
    <t>Operating Income % Sales</t>
  </si>
  <si>
    <t>Return On Capital Employed</t>
  </si>
  <si>
    <t>Retained Earning%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</si>
  <si>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</si>
  <si>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</si>
  <si>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</si>
  <si>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</si>
  <si>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</si>
  <si>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</si>
  <si>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Ratio</t>
  </si>
  <si>
    <t>Capital Turnover Ratio</t>
  </si>
  <si>
    <t>Debtor Days</t>
  </si>
  <si>
    <t>Payable Days</t>
  </si>
  <si>
    <t>Inventory Days</t>
  </si>
  <si>
    <t>Cash Conversion Cycle</t>
  </si>
  <si>
    <t>On an average Debtor pays u in days</t>
  </si>
  <si>
    <t>On an average YOU pays TO Creditor in days</t>
  </si>
  <si>
    <t>This is the sustainable Stock for days (Pre produced and stored)</t>
  </si>
  <si>
    <t>Shows the Shortfall or longterm sustaining of Cash Conversion (Debtors+Inventory)-Pyables</t>
  </si>
  <si>
    <t>CFO/Sales</t>
  </si>
  <si>
    <t>CFO/Total Assets</t>
  </si>
  <si>
    <t>CFO/ Total Debts</t>
  </si>
  <si>
    <t>Mean</t>
  </si>
  <si>
    <t>Median</t>
  </si>
  <si>
    <t>Trend</t>
  </si>
  <si>
    <t>Year Weight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</si>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</sst>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&quot;₹&quot;\ \(#,##0.0\);\-"/>
    <numFmt numFmtId="167" formatCode="0.00&quot;X&quot;"/>
    <numFmt numFmtId="168" formatCode="yyyy&quot;A&quot;"/>
    <numFmt numFmtId="169" formatCode="yyyy&quot;E&quot;"/>
    <numFmt numFmtId="170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43" fontId="0" fillId="0" borderId="0" xfId="1" applyFont="1" applyBorder="1"/>
    <xf numFmtId="164" fontId="0" fillId="0" borderId="0" xfId="1" applyNumberFormat="1" applyFont="1" applyBorder="1"/>
    <xf numFmtId="43" fontId="2" fillId="0" borderId="0" xfId="1" applyFont="1" applyBorder="1"/>
    <xf numFmtId="43" fontId="1" fillId="0" borderId="0" xfId="1" applyFont="1" applyBorder="1"/>
    <xf numFmtId="165" fontId="3" fillId="0" borderId="0" xfId="1" applyNumberFormat="1" applyFont="1" applyFill="1" applyBorder="1"/>
    <xf numFmtId="165" fontId="4" fillId="3" borderId="0" xfId="0" applyNumberFormat="1" applyFont="1" applyFill="1" applyAlignment="1">
      <alignment horizontal="center"/>
    </xf>
    <xf numFmtId="165" fontId="4" fillId="3" borderId="0" xfId="1" applyNumberFormat="1" applyFont="1" applyFill="1" applyBorder="1"/>
    <xf numFmtId="0" fontId="4" fillId="4" borderId="0" xfId="0" applyFont="1" applyFill="1"/>
    <xf numFmtId="17" fontId="4" fillId="4" borderId="0" xfId="0" applyNumberFormat="1" applyFont="1" applyFill="1"/>
    <xf numFmtId="17" fontId="4" fillId="4" borderId="0" xfId="0" applyNumberFormat="1" applyFont="1" applyFill="1" applyAlignment="1">
      <alignment horizontal="right"/>
    </xf>
    <xf numFmtId="0" fontId="2" fillId="0" borderId="0" xfId="0" applyFont="1"/>
    <xf numFmtId="10" fontId="7" fillId="0" borderId="0" xfId="2" applyNumberFormat="1" applyFont="1"/>
    <xf numFmtId="9" fontId="0" fillId="0" borderId="0" xfId="2" applyFont="1"/>
    <xf numFmtId="17" fontId="0" fillId="0" borderId="0" xfId="0" applyNumberFormat="1"/>
    <xf numFmtId="3" fontId="0" fillId="0" borderId="0" xfId="0" applyNumberFormat="1"/>
    <xf numFmtId="0" fontId="0" fillId="5" borderId="0" xfId="0" applyFill="1"/>
    <xf numFmtId="0" fontId="4" fillId="5" borderId="0" xfId="0" applyFont="1" applyFill="1"/>
    <xf numFmtId="166" fontId="0" fillId="0" borderId="0" xfId="0" applyNumberFormat="1"/>
    <xf numFmtId="166" fontId="2" fillId="0" borderId="0" xfId="0" applyNumberFormat="1" applyFont="1"/>
    <xf numFmtId="0" fontId="2" fillId="0" borderId="1" xfId="0" applyFont="1" applyBorder="1"/>
    <xf numFmtId="166" fontId="2" fillId="0" borderId="1" xfId="0" applyNumberFormat="1" applyFont="1" applyBorder="1"/>
    <xf numFmtId="10" fontId="0" fillId="0" borderId="0" xfId="2" applyNumberFormat="1" applyFont="1" applyBorder="1"/>
    <xf numFmtId="167" fontId="0" fillId="0" borderId="0" xfId="0" applyNumberFormat="1"/>
    <xf numFmtId="1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10" fontId="0" fillId="0" borderId="2" xfId="2" applyNumberFormat="1" applyFont="1" applyBorder="1"/>
    <xf numFmtId="0" fontId="0" fillId="0" borderId="3" xfId="0" applyBorder="1"/>
    <xf numFmtId="10" fontId="0" fillId="0" borderId="3" xfId="2" applyNumberFormat="1" applyFont="1" applyBorder="1"/>
    <xf numFmtId="167" fontId="0" fillId="0" borderId="3" xfId="0" applyNumberFormat="1" applyBorder="1"/>
    <xf numFmtId="167" fontId="0" fillId="0" borderId="2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7" fontId="4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5" fillId="6" borderId="0" xfId="0" applyFont="1" applyFill="1"/>
    <xf numFmtId="17" fontId="5" fillId="6" borderId="0" xfId="0" applyNumberFormat="1" applyFont="1" applyFill="1" applyAlignment="1">
      <alignment horizontal="right"/>
    </xf>
    <xf numFmtId="17" fontId="5" fillId="6" borderId="0" xfId="0" applyNumberFormat="1" applyFont="1" applyFill="1"/>
    <xf numFmtId="168" fontId="0" fillId="0" borderId="0" xfId="0" applyNumberFormat="1"/>
    <xf numFmtId="170" fontId="0" fillId="0" borderId="0" xfId="0" applyNumberFormat="1"/>
    <xf numFmtId="10" fontId="0" fillId="0" borderId="0" xfId="2" applyNumberFormat="1" applyFont="1"/>
    <xf numFmtId="0" fontId="0" fillId="7" borderId="0" xfId="0" applyFill="1" applyAlignment="1">
      <alignment horizontal="left"/>
    </xf>
    <xf numFmtId="169" fontId="0" fillId="7" borderId="0" xfId="0" applyNumberFormat="1" applyFill="1"/>
    <xf numFmtId="170" fontId="0" fillId="7" borderId="0" xfId="0" applyNumberFormat="1" applyFill="1"/>
    <xf numFmtId="10" fontId="0" fillId="7" borderId="0" xfId="2" applyNumberFormat="1" applyFont="1" applyFill="1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43" fontId="6" fillId="0" borderId="0" xfId="4" applyNumberFormat="1" applyBorder="1" applyAlignment="1" applyProtection="1">
      <alignment horizontal="center"/>
    </xf>
    <xf numFmtId="43" fontId="4" fillId="2" borderId="0" xfId="3" applyNumberFormat="1" applyFont="1" applyBorder="1" applyAlignment="1">
      <alignment horizontal="center"/>
    </xf>
  </cellXfs>
  <cellStyles count="5">
    <cellStyle name="Accent6 2" xfId="3" xr:uid="{00000000-0005-0000-0000-000000000000}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uber\Desktop\Financial%20Modeling%20(Beginnin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ta Steels"/>
      <sheetName val="Function 1"/>
      <sheetName val="Simplification&gt;"/>
      <sheetName val="Simplify using Name"/>
      <sheetName val="Using Vlook Up"/>
      <sheetName val="Advanced Simplifivation &gt;&gt;&gt;"/>
      <sheetName val="Goal Seek"/>
      <sheetName val="Sheet1"/>
    </sheetNames>
    <sheetDataSet>
      <sheetData sheetId="0"/>
      <sheetData sheetId="1"/>
      <sheetData sheetId="2">
        <row r="3">
          <cell r="C3">
            <v>0.04</v>
          </cell>
        </row>
        <row r="4">
          <cell r="C4">
            <v>0.1</v>
          </cell>
        </row>
        <row r="5">
          <cell r="C5">
            <v>1.25</v>
          </cell>
        </row>
        <row r="6">
          <cell r="C6">
            <v>0.14000000000000001</v>
          </cell>
        </row>
        <row r="7">
          <cell r="C7">
            <v>0.3</v>
          </cell>
        </row>
        <row r="8">
          <cell r="C8">
            <v>125000</v>
          </cell>
        </row>
        <row r="9">
          <cell r="C9">
            <v>125000</v>
          </cell>
        </row>
      </sheetData>
      <sheetData sheetId="3">
        <row r="7">
          <cell r="C7">
            <v>0.11500000000000002</v>
          </cell>
        </row>
        <row r="8">
          <cell r="G8">
            <v>14500</v>
          </cell>
        </row>
        <row r="9">
          <cell r="C9">
            <v>0.14000000000000001</v>
          </cell>
          <cell r="G9">
            <v>0.1</v>
          </cell>
        </row>
        <row r="10">
          <cell r="C10">
            <v>0.3</v>
          </cell>
          <cell r="G10">
            <v>0.6</v>
          </cell>
        </row>
        <row r="11">
          <cell r="C11">
            <v>9.8000000000000004E-2</v>
          </cell>
        </row>
        <row r="13">
          <cell r="C13">
            <v>125000</v>
          </cell>
        </row>
        <row r="14">
          <cell r="C14">
            <v>125000</v>
          </cell>
        </row>
        <row r="15">
          <cell r="C15">
            <v>0.5</v>
          </cell>
        </row>
        <row r="16">
          <cell r="C16">
            <v>0.5</v>
          </cell>
        </row>
      </sheetData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"/>
  <sheetViews>
    <sheetView showGridLines="0" workbookViewId="0">
      <selection activeCell="C32" sqref="C32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06"/>
  <sheetViews>
    <sheetView showGridLines="0" tabSelected="1" zoomScale="85" zoomScaleNormal="115" workbookViewId="0">
      <pane ySplit="3" topLeftCell="A4" activePane="bottomLeft" state="frozen"/>
      <selection pane="bottomLeft" activeCell="C26" sqref="C26"/>
    </sheetView>
  </sheetViews>
  <sheetFormatPr defaultRowHeight="14.5" x14ac:dyDescent="0.35"/>
  <cols>
    <col min="1" max="1" width="1.90625" customWidth="1"/>
    <col min="2" max="2" width="28.90625" bestFit="1" customWidth="1"/>
    <col min="3" max="13" width="13.36328125" customWidth="1"/>
  </cols>
  <sheetData>
    <row r="2" spans="1:13" x14ac:dyDescent="0.35">
      <c r="B2" s="46" t="str">
        <f>"Historical Financial Statement - "&amp;'Data Sheet'!B1</f>
        <v>Historical Financial Statement - MPHASIS LTD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x14ac:dyDescent="0.35">
      <c r="B3" s="8" t="s">
        <v>54</v>
      </c>
      <c r="C3" s="9">
        <f>'Data Sheet'!B16</f>
        <v>42825</v>
      </c>
      <c r="D3" s="9">
        <f>'Data Sheet'!C16</f>
        <v>43190</v>
      </c>
      <c r="E3" s="9">
        <f>'Data Sheet'!D16</f>
        <v>43555</v>
      </c>
      <c r="F3" s="9">
        <f>'Data Sheet'!E16</f>
        <v>43921</v>
      </c>
      <c r="G3" s="9">
        <f>'Data Sheet'!F16</f>
        <v>44286</v>
      </c>
      <c r="H3" s="9">
        <f>'Data Sheet'!G16</f>
        <v>44651</v>
      </c>
      <c r="I3" s="9">
        <f>'Data Sheet'!H16</f>
        <v>45016</v>
      </c>
      <c r="J3" s="9">
        <f>'Data Sheet'!I16</f>
        <v>45382</v>
      </c>
      <c r="K3" s="9">
        <f>'Data Sheet'!J16</f>
        <v>45747</v>
      </c>
      <c r="L3" s="9">
        <f>'Data Sheet'!K16</f>
        <v>46112</v>
      </c>
      <c r="M3" s="10" t="s">
        <v>57</v>
      </c>
    </row>
    <row r="4" spans="1:13" x14ac:dyDescent="0.35">
      <c r="A4" t="s">
        <v>56</v>
      </c>
      <c r="B4" s="11" t="s">
        <v>55</v>
      </c>
    </row>
    <row r="5" spans="1:13" x14ac:dyDescent="0.35">
      <c r="B5" t="s">
        <v>33</v>
      </c>
      <c r="C5" s="18">
        <f>IFERROR('Data Sheet'!B17,0)</f>
        <v>6076.36</v>
      </c>
      <c r="D5" s="18">
        <f>IFERROR('Data Sheet'!C17,0)</f>
        <v>6545.84</v>
      </c>
      <c r="E5" s="18">
        <f>IFERROR('Data Sheet'!D17,0)</f>
        <v>7730.98</v>
      </c>
      <c r="F5" s="18">
        <f>IFERROR('Data Sheet'!E17,0)</f>
        <v>8843.5400000000009</v>
      </c>
      <c r="G5" s="18">
        <f>IFERROR('Data Sheet'!F17,0)</f>
        <v>9722.31</v>
      </c>
      <c r="H5" s="18">
        <f>IFERROR('Data Sheet'!G17,0)</f>
        <v>11961.44</v>
      </c>
      <c r="I5" s="18">
        <f>IFERROR('Data Sheet'!H17,0)</f>
        <v>13798.5</v>
      </c>
      <c r="J5" s="18">
        <f>IFERROR('Data Sheet'!I17,0)</f>
        <v>13278.52</v>
      </c>
      <c r="K5" s="18">
        <f>IFERROR('Data Sheet'!J17,0)</f>
        <v>14229.99</v>
      </c>
      <c r="L5" s="18">
        <f>IFERROR('Data Sheet'!K17,0)</f>
        <v>15879.65</v>
      </c>
      <c r="M5" s="18">
        <f>IFERROR(SUM('Data Sheet'!H42:K42),0)</f>
        <v>16531.21</v>
      </c>
    </row>
    <row r="6" spans="1:13" x14ac:dyDescent="0.35">
      <c r="B6" s="12" t="s">
        <v>58</v>
      </c>
      <c r="C6" t="s">
        <v>59</v>
      </c>
      <c r="D6" s="12">
        <f>D5/C5-1</f>
        <v>7.7263361617810666E-2</v>
      </c>
      <c r="E6" s="12">
        <f t="shared" ref="E6:M6" si="0">E5/D5-1</f>
        <v>0.18105239358126668</v>
      </c>
      <c r="F6" s="12">
        <f t="shared" si="0"/>
        <v>0.14390931033323096</v>
      </c>
      <c r="G6" s="12">
        <f t="shared" si="0"/>
        <v>9.9368578646107597E-2</v>
      </c>
      <c r="H6" s="12">
        <f t="shared" si="0"/>
        <v>0.23030843492955899</v>
      </c>
      <c r="I6" s="12">
        <f t="shared" si="0"/>
        <v>0.15358184298880406</v>
      </c>
      <c r="J6" s="12">
        <f t="shared" si="0"/>
        <v>-3.7683806210820014E-2</v>
      </c>
      <c r="K6" s="12">
        <f t="shared" si="0"/>
        <v>7.1654822977259558E-2</v>
      </c>
      <c r="L6" s="12">
        <f t="shared" si="0"/>
        <v>0.11592840191735898</v>
      </c>
      <c r="M6" s="12">
        <f t="shared" si="0"/>
        <v>4.1031131038782309E-2</v>
      </c>
    </row>
    <row r="8" spans="1:13" x14ac:dyDescent="0.35">
      <c r="B8" t="s">
        <v>62</v>
      </c>
      <c r="C8" s="18">
        <f>IFERROR(SUM('Data Sheet'!B18,'Data Sheet'!B20:B22)-1*'Data Sheet'!B19,0)</f>
        <v>4260.2800000000007</v>
      </c>
      <c r="D8" s="18">
        <f>IFERROR(SUM('Data Sheet'!C18,'Data Sheet'!C20:C22)-1*'Data Sheet'!C19,0)</f>
        <v>4606.3</v>
      </c>
      <c r="E8" s="18">
        <f>IFERROR(SUM('Data Sheet'!D18,'Data Sheet'!D20:D22)-1*'Data Sheet'!D19,0)</f>
        <v>5436.369999999999</v>
      </c>
      <c r="F8" s="18">
        <f>IFERROR(SUM('Data Sheet'!E18,'Data Sheet'!E20:E22)-1*'Data Sheet'!E19,0)</f>
        <v>6539.21</v>
      </c>
      <c r="G8" s="18">
        <f>IFERROR(SUM('Data Sheet'!F18,'Data Sheet'!F20:F22)-1*'Data Sheet'!F19,0)</f>
        <v>7251.49</v>
      </c>
      <c r="H8" s="18">
        <f>IFERROR(SUM('Data Sheet'!G18,'Data Sheet'!G20:G22)-1*'Data Sheet'!G19,0)</f>
        <v>9204.19</v>
      </c>
      <c r="I8" s="18">
        <f>IFERROR(SUM('Data Sheet'!H18,'Data Sheet'!H20:H22)-1*'Data Sheet'!H19,0)</f>
        <v>10624.48</v>
      </c>
      <c r="J8" s="18">
        <f>IFERROR(SUM('Data Sheet'!I18,'Data Sheet'!I20:I22)-1*'Data Sheet'!I19,0)</f>
        <v>10114.35</v>
      </c>
      <c r="K8" s="18">
        <f>IFERROR(SUM('Data Sheet'!J18,'Data Sheet'!J20:J22)-1*'Data Sheet'!J19,0)</f>
        <v>10628.119999999999</v>
      </c>
      <c r="L8" s="18">
        <f>IFERROR(SUM('Data Sheet'!K18,'Data Sheet'!K20:K22)-1*'Data Sheet'!K19,0)</f>
        <v>11866.73</v>
      </c>
      <c r="M8" s="18">
        <f>IFERROR(SUM('Data Sheet'!H43:K43),0)</f>
        <v>13460.71</v>
      </c>
    </row>
    <row r="9" spans="1:13" x14ac:dyDescent="0.35">
      <c r="B9" s="12" t="s">
        <v>60</v>
      </c>
      <c r="C9" s="12">
        <f>C8/C5</f>
        <v>0.70112369905667227</v>
      </c>
      <c r="D9" s="12">
        <f t="shared" ref="D9:M9" si="1">D8/D5</f>
        <v>0.70369883773511122</v>
      </c>
      <c r="E9" s="12">
        <f t="shared" si="1"/>
        <v>0.70319286817453919</v>
      </c>
      <c r="F9" s="12">
        <f t="shared" si="1"/>
        <v>0.73943353001173728</v>
      </c>
      <c r="G9" s="12">
        <f t="shared" si="1"/>
        <v>0.74586080879955485</v>
      </c>
      <c r="H9" s="12">
        <f t="shared" si="1"/>
        <v>0.76948845623938256</v>
      </c>
      <c r="I9" s="12">
        <f t="shared" si="1"/>
        <v>0.76997354784940386</v>
      </c>
      <c r="J9" s="12">
        <f t="shared" si="1"/>
        <v>0.76170763006720632</v>
      </c>
      <c r="K9" s="12">
        <f t="shared" si="1"/>
        <v>0.74688176168781562</v>
      </c>
      <c r="L9" s="12">
        <f t="shared" si="1"/>
        <v>0.74729165945093246</v>
      </c>
      <c r="M9" s="12">
        <f t="shared" si="1"/>
        <v>0.81426042013863476</v>
      </c>
    </row>
    <row r="11" spans="1:13" x14ac:dyDescent="0.35">
      <c r="B11" s="20" t="s">
        <v>61</v>
      </c>
      <c r="C11" s="21">
        <f t="shared" ref="C11:M11" si="2">C5-C8</f>
        <v>1816.079999999999</v>
      </c>
      <c r="D11" s="21">
        <f t="shared" si="2"/>
        <v>1939.54</v>
      </c>
      <c r="E11" s="21">
        <f t="shared" si="2"/>
        <v>2294.6100000000006</v>
      </c>
      <c r="F11" s="21">
        <f t="shared" si="2"/>
        <v>2304.3300000000008</v>
      </c>
      <c r="G11" s="21">
        <f t="shared" si="2"/>
        <v>2470.8199999999997</v>
      </c>
      <c r="H11" s="21">
        <f t="shared" si="2"/>
        <v>2757.25</v>
      </c>
      <c r="I11" s="21">
        <f t="shared" si="2"/>
        <v>3174.0200000000004</v>
      </c>
      <c r="J11" s="21">
        <f t="shared" si="2"/>
        <v>3164.17</v>
      </c>
      <c r="K11" s="21">
        <f t="shared" si="2"/>
        <v>3601.8700000000008</v>
      </c>
      <c r="L11" s="21">
        <f t="shared" si="2"/>
        <v>4012.92</v>
      </c>
      <c r="M11" s="21">
        <f t="shared" si="2"/>
        <v>3070.5</v>
      </c>
    </row>
    <row r="12" spans="1:13" x14ac:dyDescent="0.35">
      <c r="B12" s="12" t="s">
        <v>69</v>
      </c>
      <c r="C12" s="12">
        <f>C11/C5</f>
        <v>0.29887630094332779</v>
      </c>
      <c r="D12" s="12">
        <f t="shared" ref="D12:M12" si="3">D11/D5</f>
        <v>0.29630116226488884</v>
      </c>
      <c r="E12" s="12">
        <f t="shared" si="3"/>
        <v>0.29680713182546076</v>
      </c>
      <c r="F12" s="12">
        <f t="shared" si="3"/>
        <v>0.26056646998826266</v>
      </c>
      <c r="G12" s="12">
        <f t="shared" si="3"/>
        <v>0.25413919120044515</v>
      </c>
      <c r="H12" s="12">
        <f t="shared" si="3"/>
        <v>0.23051154376061744</v>
      </c>
      <c r="I12" s="12">
        <f t="shared" si="3"/>
        <v>0.23002645215059611</v>
      </c>
      <c r="J12" s="12">
        <f t="shared" si="3"/>
        <v>0.23829236993279371</v>
      </c>
      <c r="K12" s="12">
        <f t="shared" si="3"/>
        <v>0.25311823831218438</v>
      </c>
      <c r="L12" s="12">
        <f t="shared" si="3"/>
        <v>0.25270834054906754</v>
      </c>
      <c r="M12" s="12">
        <f t="shared" si="3"/>
        <v>0.18573957986136527</v>
      </c>
    </row>
    <row r="14" spans="1:13" x14ac:dyDescent="0.35">
      <c r="B14" t="s">
        <v>63</v>
      </c>
      <c r="C14" s="18">
        <f>IFERROR(SUM('Data Sheet'!B23:B24),0)</f>
        <v>847.28</v>
      </c>
      <c r="D14" s="18">
        <f>IFERROR(SUM('Data Sheet'!C23:C24),0)</f>
        <v>877.16</v>
      </c>
      <c r="E14" s="18">
        <f>IFERROR(SUM('Data Sheet'!D23:D24),0)</f>
        <v>970.78</v>
      </c>
      <c r="F14" s="18">
        <f>IFERROR(SUM('Data Sheet'!E23:E24),0)</f>
        <v>653.95000000000005</v>
      </c>
      <c r="G14" s="18">
        <f>IFERROR(SUM('Data Sheet'!F23:F24),0)</f>
        <v>667.95</v>
      </c>
      <c r="H14" s="18">
        <f>IFERROR(SUM('Data Sheet'!G23:G24),0)</f>
        <v>639.65</v>
      </c>
      <c r="I14" s="18">
        <f>IFERROR(SUM('Data Sheet'!H23:H24),0)</f>
        <v>740.06</v>
      </c>
      <c r="J14" s="18">
        <f>IFERROR(SUM('Data Sheet'!I23:I24),0)</f>
        <v>742.28</v>
      </c>
      <c r="K14" s="18">
        <f>IFERROR(SUM('Data Sheet'!J23:J24),0)</f>
        <v>954.8900000000001</v>
      </c>
      <c r="L14" s="18">
        <f>IFERROR(SUM('Data Sheet'!K23:K24),0)</f>
        <v>1034.74</v>
      </c>
      <c r="M14" s="18">
        <f>IFERROR(SUM('Data Sheet'!L23:L24),0)</f>
        <v>0</v>
      </c>
    </row>
    <row r="15" spans="1:13" x14ac:dyDescent="0.35">
      <c r="B15" s="12" t="s">
        <v>64</v>
      </c>
      <c r="C15" s="12">
        <f t="shared" ref="C15:L15" si="4">C14/C5</f>
        <v>0.13943874293162353</v>
      </c>
      <c r="D15" s="12">
        <f t="shared" si="4"/>
        <v>0.13400266428754751</v>
      </c>
      <c r="E15" s="12">
        <f t="shared" si="4"/>
        <v>0.12557010883484371</v>
      </c>
      <c r="F15" s="12">
        <f t="shared" si="4"/>
        <v>7.3946632230984424E-2</v>
      </c>
      <c r="G15" s="12">
        <f t="shared" si="4"/>
        <v>6.8702808283216649E-2</v>
      </c>
      <c r="H15" s="12">
        <f t="shared" si="4"/>
        <v>5.3476002889284231E-2</v>
      </c>
      <c r="I15" s="12">
        <f t="shared" si="4"/>
        <v>5.3633365945573788E-2</v>
      </c>
      <c r="J15" s="12">
        <f t="shared" si="4"/>
        <v>5.590080822260312E-2</v>
      </c>
      <c r="K15" s="12">
        <f t="shared" si="4"/>
        <v>6.7104052778673776E-2</v>
      </c>
      <c r="L15" s="12">
        <f t="shared" si="4"/>
        <v>6.5161385798805385E-2</v>
      </c>
    </row>
    <row r="17" spans="2:13" x14ac:dyDescent="0.35">
      <c r="B17" s="20" t="s">
        <v>65</v>
      </c>
      <c r="C17" s="21">
        <f t="shared" ref="C17:L17" si="5">C11-C14</f>
        <v>968.79999999999905</v>
      </c>
      <c r="D17" s="21">
        <f t="shared" si="5"/>
        <v>1062.3800000000001</v>
      </c>
      <c r="E17" s="21">
        <f t="shared" si="5"/>
        <v>1323.8300000000006</v>
      </c>
      <c r="F17" s="21">
        <f t="shared" si="5"/>
        <v>1650.3800000000008</v>
      </c>
      <c r="G17" s="21">
        <f t="shared" si="5"/>
        <v>1802.8699999999997</v>
      </c>
      <c r="H17" s="21">
        <f t="shared" si="5"/>
        <v>2117.6</v>
      </c>
      <c r="I17" s="21">
        <f t="shared" si="5"/>
        <v>2433.9600000000005</v>
      </c>
      <c r="J17" s="21">
        <f t="shared" si="5"/>
        <v>2421.8900000000003</v>
      </c>
      <c r="K17" s="21">
        <f t="shared" si="5"/>
        <v>2646.9800000000005</v>
      </c>
      <c r="L17" s="21">
        <f t="shared" si="5"/>
        <v>2978.1800000000003</v>
      </c>
      <c r="M17" s="21">
        <f>IFERROR(SUM('Data Sheet'!H51:K51),0)</f>
        <v>80458</v>
      </c>
    </row>
    <row r="18" spans="2:13" x14ac:dyDescent="0.35">
      <c r="B18" s="12" t="s">
        <v>66</v>
      </c>
      <c r="C18" s="12">
        <f t="shared" ref="C18:M18" si="6">C17/C5</f>
        <v>0.15943755801170423</v>
      </c>
      <c r="D18" s="12">
        <f t="shared" si="6"/>
        <v>0.16229849797734136</v>
      </c>
      <c r="E18" s="12">
        <f t="shared" si="6"/>
        <v>0.17123702299061705</v>
      </c>
      <c r="F18" s="12">
        <f t="shared" si="6"/>
        <v>0.18661983775727828</v>
      </c>
      <c r="G18" s="12">
        <f t="shared" si="6"/>
        <v>0.1854363829172285</v>
      </c>
      <c r="H18" s="12">
        <f t="shared" si="6"/>
        <v>0.17703554087133319</v>
      </c>
      <c r="I18" s="12">
        <f t="shared" si="6"/>
        <v>0.17639308620502231</v>
      </c>
      <c r="J18" s="12">
        <f t="shared" si="6"/>
        <v>0.18239156171019061</v>
      </c>
      <c r="K18" s="12">
        <f t="shared" si="6"/>
        <v>0.1860141855335106</v>
      </c>
      <c r="L18" s="12">
        <f t="shared" si="6"/>
        <v>0.18754695475026215</v>
      </c>
      <c r="M18" s="12">
        <f t="shared" si="6"/>
        <v>4.8670363512410768</v>
      </c>
    </row>
    <row r="20" spans="2:13" x14ac:dyDescent="0.35">
      <c r="B20" t="s">
        <v>29</v>
      </c>
      <c r="C20" s="18">
        <f>IFERROR('Data Sheet'!B27,0)</f>
        <v>13.88</v>
      </c>
      <c r="D20" s="18">
        <f>IFERROR('Data Sheet'!C27,0)</f>
        <v>13</v>
      </c>
      <c r="E20" s="18">
        <f>IFERROR('Data Sheet'!D27,0)</f>
        <v>17.37</v>
      </c>
      <c r="F20" s="18">
        <f>IFERROR('Data Sheet'!E27,0)</f>
        <v>81.19</v>
      </c>
      <c r="G20" s="18">
        <f>IFERROR('Data Sheet'!F27,0)</f>
        <v>63.42</v>
      </c>
      <c r="H20" s="18">
        <f>IFERROR('Data Sheet'!G27,0)</f>
        <v>74.400000000000006</v>
      </c>
      <c r="I20" s="18">
        <f>IFERROR('Data Sheet'!H27,0)</f>
        <v>97.26</v>
      </c>
      <c r="J20" s="18">
        <f>IFERROR('Data Sheet'!I27,0)</f>
        <v>160.87</v>
      </c>
      <c r="K20" s="18">
        <f>IFERROR('Data Sheet'!J27,0)</f>
        <v>165.5</v>
      </c>
      <c r="L20" s="18">
        <f>IFERROR('Data Sheet'!K27,0)</f>
        <v>204.06</v>
      </c>
      <c r="M20" s="18">
        <f>IFERROR(SUM('Data Sheet'!H46:K46),0)</f>
        <v>210.76000000000002</v>
      </c>
    </row>
    <row r="21" spans="2:13" x14ac:dyDescent="0.35">
      <c r="B21" s="12" t="s">
        <v>67</v>
      </c>
      <c r="C21" s="12">
        <f t="shared" ref="C21:M21" si="7">C20/C5</f>
        <v>2.2842622886069951E-3</v>
      </c>
      <c r="D21" s="12">
        <f t="shared" si="7"/>
        <v>1.9859941581217995E-3</v>
      </c>
      <c r="E21" s="12">
        <f t="shared" si="7"/>
        <v>2.2468044154816081E-3</v>
      </c>
      <c r="F21" s="12">
        <f t="shared" si="7"/>
        <v>9.1807127010224403E-3</v>
      </c>
      <c r="G21" s="12">
        <f t="shared" si="7"/>
        <v>6.5231411053545919E-3</v>
      </c>
      <c r="H21" s="12">
        <f t="shared" si="7"/>
        <v>6.2199868912104234E-3</v>
      </c>
      <c r="I21" s="12">
        <f t="shared" si="7"/>
        <v>7.0485922382867707E-3</v>
      </c>
      <c r="J21" s="12">
        <f t="shared" si="7"/>
        <v>1.2115054991068281E-2</v>
      </c>
      <c r="K21" s="12">
        <f t="shared" si="7"/>
        <v>1.1630366570883044E-2</v>
      </c>
      <c r="L21" s="12">
        <f t="shared" si="7"/>
        <v>1.2850409171486778E-2</v>
      </c>
      <c r="M21" s="12">
        <f t="shared" si="7"/>
        <v>1.2749217994327097E-2</v>
      </c>
    </row>
    <row r="23" spans="2:13" x14ac:dyDescent="0.35">
      <c r="B23" t="s">
        <v>30</v>
      </c>
      <c r="C23" s="18">
        <f>IFERROR('Data Sheet'!B26,0)</f>
        <v>79.150000000000006</v>
      </c>
      <c r="D23" s="18">
        <f>IFERROR('Data Sheet'!C26,0)</f>
        <v>70.819999999999993</v>
      </c>
      <c r="E23" s="18">
        <f>IFERROR('Data Sheet'!D26,0)</f>
        <v>75.84</v>
      </c>
      <c r="F23" s="18">
        <f>IFERROR('Data Sheet'!E26,0)</f>
        <v>231.63</v>
      </c>
      <c r="G23" s="18">
        <f>IFERROR('Data Sheet'!F26,0)</f>
        <v>241.79</v>
      </c>
      <c r="H23" s="18">
        <f>IFERROR('Data Sheet'!G26,0)</f>
        <v>290.75</v>
      </c>
      <c r="I23" s="18">
        <f>IFERROR('Data Sheet'!H26,0)</f>
        <v>325.24</v>
      </c>
      <c r="J23" s="18">
        <f>IFERROR('Data Sheet'!I26,0)</f>
        <v>410.5</v>
      </c>
      <c r="K23" s="18">
        <f>IFERROR('Data Sheet'!J26,0)</f>
        <v>476.34</v>
      </c>
      <c r="L23" s="18">
        <f>IFERROR('Data Sheet'!K26,0)</f>
        <v>555.27</v>
      </c>
      <c r="M23" s="18">
        <f>IFERROR(SUM('Data Sheet'!H45:K45),0)</f>
        <v>570.41000000000008</v>
      </c>
    </row>
    <row r="24" spans="2:13" x14ac:dyDescent="0.35">
      <c r="B24" s="12" t="s">
        <v>68</v>
      </c>
      <c r="C24" s="12">
        <f t="shared" ref="C24:M24" si="8">C23/C5</f>
        <v>1.3025890500233695E-2</v>
      </c>
      <c r="D24" s="12">
        <f t="shared" si="8"/>
        <v>1.0819085098321987E-2</v>
      </c>
      <c r="E24" s="12">
        <f t="shared" si="8"/>
        <v>9.8098818002374868E-3</v>
      </c>
      <c r="F24" s="12">
        <f t="shared" si="8"/>
        <v>2.61920000361846E-2</v>
      </c>
      <c r="G24" s="12">
        <f t="shared" si="8"/>
        <v>2.4869604034432148E-2</v>
      </c>
      <c r="H24" s="12">
        <f t="shared" si="8"/>
        <v>2.4307274040583741E-2</v>
      </c>
      <c r="I24" s="12">
        <f t="shared" si="8"/>
        <v>2.357067797224336E-2</v>
      </c>
      <c r="J24" s="12">
        <f t="shared" si="8"/>
        <v>3.0914589878992538E-2</v>
      </c>
      <c r="K24" s="12">
        <f t="shared" si="8"/>
        <v>3.347437348866724E-2</v>
      </c>
      <c r="L24" s="12">
        <f t="shared" si="8"/>
        <v>3.496739537710214E-2</v>
      </c>
      <c r="M24" s="12">
        <f t="shared" si="8"/>
        <v>3.450503623146764E-2</v>
      </c>
    </row>
    <row r="26" spans="2:13" x14ac:dyDescent="0.35">
      <c r="B26" s="20" t="s">
        <v>70</v>
      </c>
      <c r="C26" s="21">
        <f>IFERROR(HistoricalFS!C17-SUM(HistoricalFS!C20,HistoricalFS!C23),0)</f>
        <v>875.76999999999907</v>
      </c>
      <c r="D26" s="21">
        <f>IFERROR(HistoricalFS!D17-SUM(HistoricalFS!D20,HistoricalFS!D23),0)</f>
        <v>978.56000000000017</v>
      </c>
      <c r="E26" s="21">
        <f>IFERROR(HistoricalFS!E17-SUM(HistoricalFS!E20,HistoricalFS!E23),0)</f>
        <v>1230.6200000000006</v>
      </c>
      <c r="F26" s="21">
        <f>IFERROR(HistoricalFS!F17-SUM(HistoricalFS!F20,HistoricalFS!F23),0)</f>
        <v>1337.5600000000009</v>
      </c>
      <c r="G26" s="21">
        <f>IFERROR(HistoricalFS!G17-SUM(HistoricalFS!G20,HistoricalFS!G23),0)</f>
        <v>1497.6599999999996</v>
      </c>
      <c r="H26" s="21">
        <f>IFERROR(HistoricalFS!H17-SUM(HistoricalFS!H20,HistoricalFS!H23),0)</f>
        <v>1752.4499999999998</v>
      </c>
      <c r="I26" s="21">
        <f>IFERROR(HistoricalFS!I17-SUM(HistoricalFS!I20,HistoricalFS!I23),0)</f>
        <v>2011.4600000000005</v>
      </c>
      <c r="J26" s="21">
        <f>IFERROR(HistoricalFS!J17-SUM(HistoricalFS!J20,HistoricalFS!J23),0)</f>
        <v>1850.5200000000004</v>
      </c>
      <c r="K26" s="21">
        <f>IFERROR(HistoricalFS!K17-SUM(HistoricalFS!K20,HistoricalFS!K23),0)</f>
        <v>2005.1400000000006</v>
      </c>
      <c r="L26" s="21">
        <f>IFERROR(HistoricalFS!L17-SUM(HistoricalFS!L20,HistoricalFS!L23),0)</f>
        <v>2218.8500000000004</v>
      </c>
      <c r="M26" s="21">
        <f>IFERROR(HistoricalFS!M17-SUM(HistoricalFS!M20,HistoricalFS!M23),0)</f>
        <v>79676.83</v>
      </c>
    </row>
    <row r="27" spans="2:13" x14ac:dyDescent="0.35">
      <c r="B27" s="12" t="s">
        <v>71</v>
      </c>
      <c r="C27" s="12">
        <f>IFERROR(C26/C5,0)</f>
        <v>0.14412740522286355</v>
      </c>
      <c r="D27" s="12">
        <f t="shared" ref="D27:M27" si="9">IFERROR(D26/D5,0)</f>
        <v>0.14949341872089758</v>
      </c>
      <c r="E27" s="12">
        <f t="shared" si="9"/>
        <v>0.15918033677489796</v>
      </c>
      <c r="F27" s="12">
        <f t="shared" si="9"/>
        <v>0.15124712502007123</v>
      </c>
      <c r="G27" s="12">
        <f t="shared" si="9"/>
        <v>0.15404363777744176</v>
      </c>
      <c r="H27" s="12">
        <f t="shared" si="9"/>
        <v>0.14650827993953902</v>
      </c>
      <c r="I27" s="12">
        <f t="shared" si="9"/>
        <v>0.14577381599449218</v>
      </c>
      <c r="J27" s="12">
        <f t="shared" si="9"/>
        <v>0.1393619168401298</v>
      </c>
      <c r="K27" s="12">
        <f t="shared" si="9"/>
        <v>0.14090944547396031</v>
      </c>
      <c r="L27" s="12">
        <f t="shared" si="9"/>
        <v>0.13972915020167323</v>
      </c>
      <c r="M27" s="12">
        <f t="shared" si="9"/>
        <v>4.819782097015282</v>
      </c>
    </row>
    <row r="29" spans="2:13" x14ac:dyDescent="0.35">
      <c r="B29" t="s">
        <v>72</v>
      </c>
      <c r="C29" s="18">
        <f>IFERROR('Data Sheet'!B29,0)</f>
        <v>307.63</v>
      </c>
      <c r="D29" s="18">
        <f>IFERROR('Data Sheet'!C29,0)</f>
        <v>290.08</v>
      </c>
      <c r="E29" s="18">
        <f>IFERROR('Data Sheet'!D29,0)</f>
        <v>333.98</v>
      </c>
      <c r="F29" s="18">
        <f>IFERROR('Data Sheet'!E29,0)</f>
        <v>330.55</v>
      </c>
      <c r="G29" s="18">
        <f>IFERROR('Data Sheet'!F29,0)</f>
        <v>413.8</v>
      </c>
      <c r="H29" s="18">
        <f>IFERROR('Data Sheet'!G29,0)</f>
        <v>482.02</v>
      </c>
      <c r="I29" s="18">
        <f>IFERROR('Data Sheet'!H29,0)</f>
        <v>535.14</v>
      </c>
      <c r="J29" s="18">
        <f>IFERROR('Data Sheet'!I29,0)</f>
        <v>513.5</v>
      </c>
      <c r="K29" s="18">
        <f>IFERROR('Data Sheet'!J29,0)</f>
        <v>558.01</v>
      </c>
      <c r="L29" s="18">
        <f>IFERROR('Data Sheet'!K29,0)</f>
        <v>646.66</v>
      </c>
      <c r="M29" s="18">
        <f>IFERROR('Data Sheet'!L29,0)</f>
        <v>0</v>
      </c>
    </row>
    <row r="30" spans="2:13" x14ac:dyDescent="0.35">
      <c r="B30" s="12" t="s">
        <v>73</v>
      </c>
      <c r="C30" s="12">
        <f>C29/C5</f>
        <v>5.0627349268311951E-2</v>
      </c>
      <c r="D30" s="12">
        <f t="shared" ref="D30:M30" si="10">D29/D5</f>
        <v>4.4315168106767042E-2</v>
      </c>
      <c r="E30" s="12">
        <f t="shared" si="10"/>
        <v>4.3200215237912919E-2</v>
      </c>
      <c r="F30" s="12">
        <f t="shared" si="10"/>
        <v>3.7377565997326861E-2</v>
      </c>
      <c r="G30" s="12">
        <f t="shared" si="10"/>
        <v>4.2561901441118419E-2</v>
      </c>
      <c r="H30" s="12">
        <f t="shared" si="10"/>
        <v>4.0297823673403871E-2</v>
      </c>
      <c r="I30" s="12">
        <f t="shared" si="10"/>
        <v>3.8782476356125667E-2</v>
      </c>
      <c r="J30" s="12">
        <f t="shared" si="10"/>
        <v>3.867147844789931E-2</v>
      </c>
      <c r="K30" s="12">
        <f t="shared" si="10"/>
        <v>3.9213660726395448E-2</v>
      </c>
      <c r="L30" s="12">
        <f t="shared" si="10"/>
        <v>4.0722560006045475E-2</v>
      </c>
      <c r="M30" s="12">
        <f t="shared" si="10"/>
        <v>0</v>
      </c>
    </row>
    <row r="32" spans="2:13" x14ac:dyDescent="0.35">
      <c r="B32" s="20" t="s">
        <v>74</v>
      </c>
      <c r="C32" s="21">
        <f>IFERROR(C26-C29,0)</f>
        <v>568.13999999999908</v>
      </c>
      <c r="D32" s="21">
        <f t="shared" ref="D32:M32" si="11">IFERROR(D26-D29,0)</f>
        <v>688.48000000000025</v>
      </c>
      <c r="E32" s="21">
        <f t="shared" si="11"/>
        <v>896.64000000000055</v>
      </c>
      <c r="F32" s="21">
        <f t="shared" si="11"/>
        <v>1007.0100000000009</v>
      </c>
      <c r="G32" s="21">
        <f t="shared" si="11"/>
        <v>1083.8599999999997</v>
      </c>
      <c r="H32" s="21">
        <f t="shared" si="11"/>
        <v>1270.4299999999998</v>
      </c>
      <c r="I32" s="21">
        <f t="shared" si="11"/>
        <v>1476.3200000000006</v>
      </c>
      <c r="J32" s="21">
        <f t="shared" si="11"/>
        <v>1337.0200000000004</v>
      </c>
      <c r="K32" s="21">
        <f t="shared" si="11"/>
        <v>1447.1300000000006</v>
      </c>
      <c r="L32" s="21">
        <f t="shared" si="11"/>
        <v>1572.1900000000005</v>
      </c>
      <c r="M32" s="21">
        <f t="shared" si="11"/>
        <v>79676.83</v>
      </c>
    </row>
    <row r="33" spans="1:13" x14ac:dyDescent="0.35">
      <c r="B33" s="12" t="s">
        <v>75</v>
      </c>
      <c r="C33" s="12">
        <f>C32/C5</f>
        <v>9.3500055954551589E-2</v>
      </c>
      <c r="D33" s="12">
        <f t="shared" ref="D33:M33" si="12">D32/D5</f>
        <v>0.10517825061413054</v>
      </c>
      <c r="E33" s="12">
        <f t="shared" si="12"/>
        <v>0.11598012153698505</v>
      </c>
      <c r="F33" s="12">
        <f t="shared" si="12"/>
        <v>0.11386955902274437</v>
      </c>
      <c r="G33" s="12">
        <f t="shared" si="12"/>
        <v>0.11148173633632334</v>
      </c>
      <c r="H33" s="12">
        <f t="shared" si="12"/>
        <v>0.10621045626613516</v>
      </c>
      <c r="I33" s="12">
        <f t="shared" si="12"/>
        <v>0.10699133963836653</v>
      </c>
      <c r="J33" s="12">
        <f t="shared" si="12"/>
        <v>0.10069043839223049</v>
      </c>
      <c r="K33" s="12">
        <f t="shared" si="12"/>
        <v>0.10169578474756487</v>
      </c>
      <c r="L33" s="12">
        <f t="shared" si="12"/>
        <v>9.9006590195627769E-2</v>
      </c>
      <c r="M33" s="12">
        <f t="shared" si="12"/>
        <v>4.819782097015282</v>
      </c>
    </row>
    <row r="35" spans="1:13" x14ac:dyDescent="0.35">
      <c r="B35" t="s">
        <v>76</v>
      </c>
      <c r="C35" s="18">
        <f>IFERROR('Data Sheet'!B93,0)</f>
        <v>21.04</v>
      </c>
      <c r="D35" s="18">
        <f>IFERROR('Data Sheet'!C93,0)</f>
        <v>19.329999999999998</v>
      </c>
      <c r="E35" s="18">
        <f>IFERROR('Data Sheet'!D93,0)</f>
        <v>18.62</v>
      </c>
      <c r="F35" s="18">
        <f>IFERROR('Data Sheet'!E93,0)</f>
        <v>18.649999999999999</v>
      </c>
      <c r="G35" s="18">
        <f>IFERROR('Data Sheet'!F93,0)</f>
        <v>18.7</v>
      </c>
      <c r="H35" s="18">
        <f>IFERROR('Data Sheet'!G93,0)</f>
        <v>18.78</v>
      </c>
      <c r="I35" s="18">
        <f>IFERROR('Data Sheet'!H93,0)</f>
        <v>18.84</v>
      </c>
      <c r="J35" s="18">
        <f>IFERROR('Data Sheet'!I93,0)</f>
        <v>18.899999999999999</v>
      </c>
      <c r="K35" s="18">
        <f>IFERROR('Data Sheet'!J93,0)</f>
        <v>19.010000000000002</v>
      </c>
      <c r="L35" s="18">
        <f>IFERROR('Data Sheet'!K93,0)</f>
        <v>19.079999999999998</v>
      </c>
      <c r="M35" s="18">
        <f>IFERROR('Data Sheet'!L93,0)</f>
        <v>0</v>
      </c>
    </row>
    <row r="37" spans="1:13" x14ac:dyDescent="0.35">
      <c r="B37" t="s">
        <v>77</v>
      </c>
      <c r="C37" s="18">
        <f>IFERROR(C32/C35,0)</f>
        <v>27.002851711026572</v>
      </c>
      <c r="D37" s="18">
        <f t="shared" ref="D37:M37" si="13">IFERROR(D32/D35,0)</f>
        <v>35.617175375064683</v>
      </c>
      <c r="E37" s="18">
        <f t="shared" si="13"/>
        <v>48.154672395273927</v>
      </c>
      <c r="F37" s="18">
        <f t="shared" si="13"/>
        <v>53.995174262734636</v>
      </c>
      <c r="G37" s="18">
        <f t="shared" si="13"/>
        <v>57.960427807486617</v>
      </c>
      <c r="H37" s="18">
        <f t="shared" si="13"/>
        <v>67.648029818956317</v>
      </c>
      <c r="I37" s="18">
        <f t="shared" si="13"/>
        <v>78.36093418259027</v>
      </c>
      <c r="J37" s="18">
        <f t="shared" si="13"/>
        <v>70.741798941798976</v>
      </c>
      <c r="K37" s="18">
        <f t="shared" si="13"/>
        <v>76.124671225670724</v>
      </c>
      <c r="L37" s="18">
        <f t="shared" si="13"/>
        <v>82.399895178197099</v>
      </c>
      <c r="M37" s="18">
        <f t="shared" si="13"/>
        <v>0</v>
      </c>
    </row>
    <row r="38" spans="1:13" x14ac:dyDescent="0.35">
      <c r="B38" s="12" t="s">
        <v>78</v>
      </c>
      <c r="C38" s="12">
        <f>C37/C37-1</f>
        <v>0</v>
      </c>
      <c r="D38" s="12">
        <f>D37/C37-1</f>
        <v>0.31901533053712483</v>
      </c>
      <c r="E38" s="12">
        <f t="shared" ref="E38:M38" si="14">E37/D37-1</f>
        <v>0.35200705525308584</v>
      </c>
      <c r="F38" s="12">
        <f t="shared" si="14"/>
        <v>0.12128629636433619</v>
      </c>
      <c r="G38" s="12">
        <f t="shared" si="14"/>
        <v>7.3437183950133988E-2</v>
      </c>
      <c r="H38" s="12">
        <f t="shared" si="14"/>
        <v>0.16714165816109405</v>
      </c>
      <c r="I38" s="12">
        <f t="shared" si="14"/>
        <v>0.15836240009213087</v>
      </c>
      <c r="J38" s="12">
        <f t="shared" si="14"/>
        <v>-9.7231296694827662E-2</v>
      </c>
      <c r="K38" s="12">
        <f t="shared" si="14"/>
        <v>7.609182073953713E-2</v>
      </c>
      <c r="L38" s="12">
        <f t="shared" si="14"/>
        <v>8.2433511389803593E-2</v>
      </c>
      <c r="M38" s="12">
        <f t="shared" si="14"/>
        <v>-1</v>
      </c>
    </row>
    <row r="40" spans="1:13" x14ac:dyDescent="0.35">
      <c r="B40" t="s">
        <v>79</v>
      </c>
      <c r="C40" s="18">
        <f>IFERROR('Data Sheet'!B31/HistoricalFS!C35,0)</f>
        <v>17.001425855513308</v>
      </c>
      <c r="D40" s="18">
        <f>IFERROR('Data Sheet'!C31/HistoricalFS!D35,0)</f>
        <v>19.996896016554579</v>
      </c>
      <c r="E40" s="18">
        <f>IFERROR('Data Sheet'!D31/HistoricalFS!E35,0)</f>
        <v>27.004296455424274</v>
      </c>
      <c r="F40" s="18">
        <f>IFERROR('Data Sheet'!E31/HistoricalFS!F35,0)</f>
        <v>35.007506702412869</v>
      </c>
      <c r="G40" s="18">
        <f>IFERROR('Data Sheet'!F31/HistoricalFS!G35,0)</f>
        <v>65.017112299465239</v>
      </c>
      <c r="H40" s="18">
        <f>IFERROR('Data Sheet'!G31/HistoricalFS!H35,0)</f>
        <v>46.007454739084132</v>
      </c>
      <c r="I40" s="18">
        <f>IFERROR('Data Sheet'!H31/HistoricalFS!I35,0)</f>
        <v>50.002653927813164</v>
      </c>
      <c r="J40" s="18">
        <f>IFERROR('Data Sheet'!I31/HistoricalFS!J35,0)</f>
        <v>55.003174603174607</v>
      </c>
      <c r="K40" s="18">
        <f>IFERROR('Data Sheet'!J31/HistoricalFS!K35,0)</f>
        <v>56.994213571804309</v>
      </c>
      <c r="L40" s="18">
        <f>IFERROR('Data Sheet'!K31/HistoricalFS!L35,0)</f>
        <v>62.009958071278838</v>
      </c>
      <c r="M40" s="18">
        <f>IFERROR('Data Sheet'!L31/HistoricalFS!M35,0)</f>
        <v>0</v>
      </c>
    </row>
    <row r="41" spans="1:13" x14ac:dyDescent="0.35">
      <c r="B41" s="12" t="s">
        <v>79</v>
      </c>
      <c r="C41" s="12">
        <f>IFERROR(IF(C37&gt;C40,1-C38,0),0)</f>
        <v>1</v>
      </c>
      <c r="D41" s="12">
        <f t="shared" ref="D41:M41" si="15">IFERROR(IF(D37&gt;D40,1-D38,0),0)</f>
        <v>0.68098466946287517</v>
      </c>
      <c r="E41" s="12">
        <f t="shared" si="15"/>
        <v>0.64799294474691416</v>
      </c>
      <c r="F41" s="12">
        <f t="shared" si="15"/>
        <v>0.87871370363566381</v>
      </c>
      <c r="G41" s="12">
        <f t="shared" si="15"/>
        <v>0</v>
      </c>
      <c r="H41" s="12">
        <f t="shared" si="15"/>
        <v>0.83285834183890595</v>
      </c>
      <c r="I41" s="12">
        <f t="shared" si="15"/>
        <v>0.84163759990786913</v>
      </c>
      <c r="J41" s="12">
        <f t="shared" si="15"/>
        <v>1.0972312966948277</v>
      </c>
      <c r="K41" s="12">
        <f t="shared" si="15"/>
        <v>0.92390817926046287</v>
      </c>
      <c r="L41" s="12">
        <f t="shared" si="15"/>
        <v>0.91756648861019641</v>
      </c>
      <c r="M41" s="12">
        <f t="shared" si="15"/>
        <v>0</v>
      </c>
    </row>
    <row r="43" spans="1:13" x14ac:dyDescent="0.35">
      <c r="B43" t="s">
        <v>80</v>
      </c>
      <c r="C43" s="13">
        <f>IFERROR(1-C41,0)</f>
        <v>0</v>
      </c>
      <c r="D43" s="13">
        <f t="shared" ref="D43:M43" si="16">IFERROR(1-D41,0)</f>
        <v>0.31901533053712483</v>
      </c>
      <c r="E43" s="13">
        <f t="shared" si="16"/>
        <v>0.35200705525308584</v>
      </c>
      <c r="F43" s="13">
        <f t="shared" si="16"/>
        <v>0.12128629636433619</v>
      </c>
      <c r="G43" s="13">
        <f t="shared" si="16"/>
        <v>1</v>
      </c>
      <c r="H43" s="13">
        <f t="shared" si="16"/>
        <v>0.16714165816109405</v>
      </c>
      <c r="I43" s="13">
        <f t="shared" si="16"/>
        <v>0.15836240009213087</v>
      </c>
      <c r="J43" s="13">
        <f t="shared" si="16"/>
        <v>-9.7231296694827662E-2</v>
      </c>
      <c r="K43" s="13">
        <f t="shared" si="16"/>
        <v>7.609182073953713E-2</v>
      </c>
      <c r="L43" s="13">
        <f t="shared" si="16"/>
        <v>8.2433511389803593E-2</v>
      </c>
      <c r="M43" s="13">
        <f t="shared" si="16"/>
        <v>1</v>
      </c>
    </row>
    <row r="46" spans="1:13" x14ac:dyDescent="0.35">
      <c r="A46" t="s">
        <v>56</v>
      </c>
      <c r="B46" s="17" t="s">
        <v>81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3" x14ac:dyDescent="0.35">
      <c r="B47" t="s">
        <v>23</v>
      </c>
      <c r="C47" s="18">
        <f>IFERROR('Data Sheet'!B57,0)</f>
        <v>210.42</v>
      </c>
      <c r="D47" s="18">
        <f>IFERROR('Data Sheet'!C57,0)</f>
        <v>193.27</v>
      </c>
      <c r="E47" s="18">
        <f>IFERROR('Data Sheet'!D57,0)</f>
        <v>186.23</v>
      </c>
      <c r="F47" s="18">
        <f>IFERROR('Data Sheet'!E57,0)</f>
        <v>186.54</v>
      </c>
      <c r="G47" s="18">
        <f>IFERROR('Data Sheet'!F57,0)</f>
        <v>187.05</v>
      </c>
      <c r="H47" s="18">
        <f>IFERROR('Data Sheet'!G57,0)</f>
        <v>187.83</v>
      </c>
      <c r="I47" s="18">
        <f>IFERROR('Data Sheet'!H57,0)</f>
        <v>188.41</v>
      </c>
      <c r="J47" s="18">
        <f>IFERROR('Data Sheet'!I57,0)</f>
        <v>189.01</v>
      </c>
      <c r="K47" s="18">
        <f>IFERROR('Data Sheet'!J57,0)</f>
        <v>190.08</v>
      </c>
      <c r="L47" s="18">
        <f>IFERROR('Data Sheet'!K57,0)</f>
        <v>190.83</v>
      </c>
    </row>
    <row r="48" spans="1:13" x14ac:dyDescent="0.35">
      <c r="B48" t="s">
        <v>22</v>
      </c>
      <c r="C48" s="18">
        <f>IFERROR('Data Sheet'!B58,0)</f>
        <v>5941.98</v>
      </c>
      <c r="D48" s="18">
        <f>IFERROR('Data Sheet'!C58,0)</f>
        <v>5288.52</v>
      </c>
      <c r="E48" s="18">
        <f>IFERROR('Data Sheet'!D58,0)</f>
        <v>5063.59</v>
      </c>
      <c r="F48" s="18">
        <f>IFERROR('Data Sheet'!E58,0)</f>
        <v>5643.06</v>
      </c>
      <c r="G48" s="18">
        <f>IFERROR('Data Sheet'!F58,0)</f>
        <v>6339.66</v>
      </c>
      <c r="H48" s="18">
        <f>IFERROR('Data Sheet'!G58,0)</f>
        <v>6755.31</v>
      </c>
      <c r="I48" s="18">
        <f>IFERROR('Data Sheet'!H58,0)</f>
        <v>7746.43</v>
      </c>
      <c r="J48" s="18">
        <f>IFERROR('Data Sheet'!I58,0)</f>
        <v>8605.6</v>
      </c>
      <c r="K48" s="18">
        <f>IFERROR('Data Sheet'!J58,0)</f>
        <v>9438.31</v>
      </c>
      <c r="L48" s="18">
        <f>IFERROR('Data Sheet'!K58,0)</f>
        <v>10552.89</v>
      </c>
    </row>
    <row r="49" spans="2:12" x14ac:dyDescent="0.35">
      <c r="B49" t="s">
        <v>21</v>
      </c>
      <c r="C49" s="18">
        <f>IFERROR('Data Sheet'!B59,0)</f>
        <v>260.16000000000003</v>
      </c>
      <c r="D49" s="18">
        <f>IFERROR('Data Sheet'!C59,0)</f>
        <v>389.88</v>
      </c>
      <c r="E49" s="18">
        <f>IFERROR('Data Sheet'!D59,0)</f>
        <v>542.59</v>
      </c>
      <c r="F49" s="18">
        <f>IFERROR('Data Sheet'!E59,0)</f>
        <v>571.28</v>
      </c>
      <c r="G49" s="18">
        <f>IFERROR('Data Sheet'!F59,0)</f>
        <v>513.45000000000005</v>
      </c>
      <c r="H49" s="18">
        <f>IFERROR('Data Sheet'!G59,0)</f>
        <v>527.24</v>
      </c>
      <c r="I49" s="18">
        <f>IFERROR('Data Sheet'!H59,0)</f>
        <v>198.48</v>
      </c>
      <c r="J49" s="18">
        <f>IFERROR('Data Sheet'!I59,0)</f>
        <v>1543.57</v>
      </c>
      <c r="K49" s="18">
        <f>IFERROR('Data Sheet'!J59,0)</f>
        <v>1888.22</v>
      </c>
      <c r="L49" s="18">
        <f>IFERROR('Data Sheet'!K59,0)</f>
        <v>2619.6799999999998</v>
      </c>
    </row>
    <row r="50" spans="2:12" x14ac:dyDescent="0.35">
      <c r="B50" t="s">
        <v>20</v>
      </c>
      <c r="C50" s="18">
        <f>IFERROR('Data Sheet'!B60,0)</f>
        <v>888.69</v>
      </c>
      <c r="D50" s="18">
        <f>IFERROR('Data Sheet'!C60,0)</f>
        <v>1108.7</v>
      </c>
      <c r="E50" s="18">
        <f>IFERROR('Data Sheet'!D60,0)</f>
        <v>1575.86</v>
      </c>
      <c r="F50" s="18">
        <f>IFERROR('Data Sheet'!E60,0)</f>
        <v>2338.89</v>
      </c>
      <c r="G50" s="18">
        <f>IFERROR('Data Sheet'!F60,0)</f>
        <v>2324.5</v>
      </c>
      <c r="H50" s="18">
        <f>IFERROR('Data Sheet'!G60,0)</f>
        <v>3213.94</v>
      </c>
      <c r="I50" s="18">
        <f>IFERROR('Data Sheet'!H60,0)</f>
        <v>3373.18</v>
      </c>
      <c r="J50" s="18">
        <f>IFERROR('Data Sheet'!I60,0)</f>
        <v>3662.15</v>
      </c>
      <c r="K50" s="18">
        <f>IFERROR('Data Sheet'!J60,0)</f>
        <v>3227.72</v>
      </c>
      <c r="L50" s="18">
        <f>IFERROR('Data Sheet'!K60,0)</f>
        <v>4245.58</v>
      </c>
    </row>
    <row r="51" spans="2:12" x14ac:dyDescent="0.35">
      <c r="B51" s="20" t="s">
        <v>109</v>
      </c>
      <c r="C51" s="21">
        <f>SUM(C47:C50)</f>
        <v>7301.25</v>
      </c>
      <c r="D51" s="21">
        <f t="shared" ref="D51:L51" si="17">SUM(D47:D50)</f>
        <v>6980.3700000000008</v>
      </c>
      <c r="E51" s="21">
        <f t="shared" si="17"/>
        <v>7368.2699999999995</v>
      </c>
      <c r="F51" s="21">
        <f t="shared" si="17"/>
        <v>8739.77</v>
      </c>
      <c r="G51" s="21">
        <f t="shared" si="17"/>
        <v>9364.66</v>
      </c>
      <c r="H51" s="21">
        <f t="shared" si="17"/>
        <v>10684.32</v>
      </c>
      <c r="I51" s="21">
        <f t="shared" si="17"/>
        <v>11506.5</v>
      </c>
      <c r="J51" s="21">
        <f t="shared" si="17"/>
        <v>14000.33</v>
      </c>
      <c r="K51" s="21">
        <f t="shared" si="17"/>
        <v>14744.329999999998</v>
      </c>
      <c r="L51" s="21">
        <f t="shared" si="17"/>
        <v>17608.98</v>
      </c>
    </row>
    <row r="52" spans="2:12" x14ac:dyDescent="0.35"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2:12" x14ac:dyDescent="0.35">
      <c r="B53" t="s">
        <v>110</v>
      </c>
      <c r="C53" s="18">
        <f>IFERROR('Data Sheet'!B62,0)</f>
        <v>1921.14</v>
      </c>
      <c r="D53" s="18">
        <f>IFERROR('Data Sheet'!C62,0)</f>
        <v>1884.03</v>
      </c>
      <c r="E53" s="18">
        <f>IFERROR('Data Sheet'!D62,0)</f>
        <v>2169.73</v>
      </c>
      <c r="F53" s="18">
        <f>IFERROR('Data Sheet'!E62,0)</f>
        <v>3013.49</v>
      </c>
      <c r="G53" s="18">
        <f>IFERROR('Data Sheet'!F62,0)</f>
        <v>3019.51</v>
      </c>
      <c r="H53" s="18">
        <f>IFERROR('Data Sheet'!G62,0)</f>
        <v>3773.63</v>
      </c>
      <c r="I53" s="18">
        <f>IFERROR('Data Sheet'!H62,0)</f>
        <v>4059.8</v>
      </c>
      <c r="J53" s="18">
        <f>IFERROR('Data Sheet'!I62,0)</f>
        <v>5532.63</v>
      </c>
      <c r="K53" s="18">
        <f>IFERROR('Data Sheet'!J62,0)</f>
        <v>5781.48</v>
      </c>
      <c r="L53" s="18">
        <f>IFERROR('Data Sheet'!K62,0)</f>
        <v>6435.46</v>
      </c>
    </row>
    <row r="54" spans="2:12" x14ac:dyDescent="0.35">
      <c r="B54" t="s">
        <v>18</v>
      </c>
      <c r="C54" s="18">
        <f>IFERROR('Data Sheet'!B63,0)</f>
        <v>1.08</v>
      </c>
      <c r="D54" s="18">
        <f>IFERROR('Data Sheet'!C63,0)</f>
        <v>2.2599999999999998</v>
      </c>
      <c r="E54" s="18">
        <f>IFERROR('Data Sheet'!D63,0)</f>
        <v>2.92</v>
      </c>
      <c r="F54" s="18">
        <f>IFERROR('Data Sheet'!E63,0)</f>
        <v>16.7</v>
      </c>
      <c r="G54" s="18">
        <f>IFERROR('Data Sheet'!F63,0)</f>
        <v>3.13</v>
      </c>
      <c r="H54" s="18">
        <f>IFERROR('Data Sheet'!G63,0)</f>
        <v>10.98</v>
      </c>
      <c r="I54" s="18">
        <f>IFERROR('Data Sheet'!H63,0)</f>
        <v>32.380000000000003</v>
      </c>
      <c r="J54" s="18">
        <f>IFERROR('Data Sheet'!I63,0)</f>
        <v>61.44</v>
      </c>
      <c r="K54" s="18">
        <f>IFERROR('Data Sheet'!J63,0)</f>
        <v>0.18</v>
      </c>
      <c r="L54" s="18">
        <f>IFERROR('Data Sheet'!K63,0)</f>
        <v>0.06</v>
      </c>
    </row>
    <row r="55" spans="2:12" x14ac:dyDescent="0.35">
      <c r="B55" t="s">
        <v>17</v>
      </c>
      <c r="C55" s="18">
        <f>IFERROR('Data Sheet'!B64,0)</f>
        <v>2395.65</v>
      </c>
      <c r="D55" s="18">
        <f>IFERROR('Data Sheet'!C64,0)</f>
        <v>1782.07</v>
      </c>
      <c r="E55" s="18">
        <f>IFERROR('Data Sheet'!D64,0)</f>
        <v>1329.22</v>
      </c>
      <c r="F55" s="18">
        <f>IFERROR('Data Sheet'!E64,0)</f>
        <v>1325.65</v>
      </c>
      <c r="G55" s="18">
        <f>IFERROR('Data Sheet'!F64,0)</f>
        <v>1846.02</v>
      </c>
      <c r="H55" s="18">
        <f>IFERROR('Data Sheet'!G64,0)</f>
        <v>1813.01</v>
      </c>
      <c r="I55" s="18">
        <f>IFERROR('Data Sheet'!H64,0)</f>
        <v>1752.64</v>
      </c>
      <c r="J55" s="18">
        <f>IFERROR('Data Sheet'!I64,0)</f>
        <v>3089.91</v>
      </c>
      <c r="K55" s="18">
        <f>IFERROR('Data Sheet'!J64,0)</f>
        <v>2208.1999999999998</v>
      </c>
      <c r="L55" s="18">
        <f>IFERROR('Data Sheet'!K64,0)</f>
        <v>1769.07</v>
      </c>
    </row>
    <row r="56" spans="2:12" x14ac:dyDescent="0.35">
      <c r="B56" t="s">
        <v>16</v>
      </c>
      <c r="C56" s="18">
        <f>IFERROR('Data Sheet'!B65-SUM('Data Sheet'!B67:B69),0)</f>
        <v>1741.1000000000001</v>
      </c>
      <c r="D56" s="18">
        <f>IFERROR('Data Sheet'!C65-SUM('Data Sheet'!C67:C69),0)</f>
        <v>1793.6600000000003</v>
      </c>
      <c r="E56" s="18">
        <f>IFERROR('Data Sheet'!D65-SUM('Data Sheet'!D67:D69),0)</f>
        <v>2269.42</v>
      </c>
      <c r="F56" s="18">
        <f>IFERROR('Data Sheet'!E65-SUM('Data Sheet'!E67:E69),0)</f>
        <v>2422.9800000000005</v>
      </c>
      <c r="G56" s="18">
        <f>IFERROR('Data Sheet'!F65-SUM('Data Sheet'!F67:F69),0)</f>
        <v>2504.2799999999997</v>
      </c>
      <c r="H56" s="18">
        <f>IFERROR('Data Sheet'!G65-SUM('Data Sheet'!G67:G69),0)</f>
        <v>1910.3199999999997</v>
      </c>
      <c r="I56" s="18">
        <f>IFERROR('Data Sheet'!H65-SUM('Data Sheet'!H67:H69),0)</f>
        <v>2087.61</v>
      </c>
      <c r="J56" s="18">
        <f>IFERROR('Data Sheet'!I65-SUM('Data Sheet'!I67:I69),0)</f>
        <v>2076.4200000000005</v>
      </c>
      <c r="K56" s="18">
        <f>IFERROR('Data Sheet'!J65-SUM('Data Sheet'!J67:J69),0)</f>
        <v>2301.1600000000008</v>
      </c>
      <c r="L56" s="18">
        <f>IFERROR('Data Sheet'!K65-SUM('Data Sheet'!K67:K69),0)</f>
        <v>3458.9599999999991</v>
      </c>
    </row>
    <row r="57" spans="2:12" x14ac:dyDescent="0.35">
      <c r="B57" s="20" t="s">
        <v>111</v>
      </c>
      <c r="C57" s="21">
        <f>SUM(C53:C56)</f>
        <v>6058.97</v>
      </c>
      <c r="D57" s="21">
        <f t="shared" ref="D57:L57" si="18">SUM(D53:D56)</f>
        <v>5462.02</v>
      </c>
      <c r="E57" s="21">
        <f t="shared" si="18"/>
        <v>5771.29</v>
      </c>
      <c r="F57" s="21">
        <f t="shared" si="18"/>
        <v>6778.8200000000006</v>
      </c>
      <c r="G57" s="21">
        <f t="shared" si="18"/>
        <v>7372.94</v>
      </c>
      <c r="H57" s="21">
        <f t="shared" si="18"/>
        <v>7507.94</v>
      </c>
      <c r="I57" s="21">
        <f t="shared" si="18"/>
        <v>7932.43</v>
      </c>
      <c r="J57" s="21">
        <f t="shared" si="18"/>
        <v>10760.4</v>
      </c>
      <c r="K57" s="21">
        <f t="shared" si="18"/>
        <v>10291.02</v>
      </c>
      <c r="L57" s="21">
        <f t="shared" si="18"/>
        <v>11663.55</v>
      </c>
    </row>
    <row r="58" spans="2:12" x14ac:dyDescent="0.35"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2:12" x14ac:dyDescent="0.35">
      <c r="B59" t="s">
        <v>14</v>
      </c>
      <c r="C59" s="18">
        <f>IFERROR('Data Sheet'!B67,0)</f>
        <v>627.87</v>
      </c>
      <c r="D59" s="18">
        <f>IFERROR('Data Sheet'!C67,0)</f>
        <v>811.63</v>
      </c>
      <c r="E59" s="18">
        <f>IFERROR('Data Sheet'!D67,0)</f>
        <v>955.37</v>
      </c>
      <c r="F59" s="18">
        <f>IFERROR('Data Sheet'!E67,0)</f>
        <v>835.25</v>
      </c>
      <c r="G59" s="18">
        <f>IFERROR('Data Sheet'!F67,0)</f>
        <v>929.48</v>
      </c>
      <c r="H59" s="18">
        <f>IFERROR('Data Sheet'!G67,0)</f>
        <v>2226.94</v>
      </c>
      <c r="I59" s="18">
        <f>IFERROR('Data Sheet'!H67,0)</f>
        <v>2520.63</v>
      </c>
      <c r="J59" s="18">
        <f>IFERROR('Data Sheet'!I67,0)</f>
        <v>2425.56</v>
      </c>
      <c r="K59" s="18">
        <f>IFERROR('Data Sheet'!J67,0)</f>
        <v>2840.73</v>
      </c>
      <c r="L59" s="18">
        <f>IFERROR('Data Sheet'!K67,0)</f>
        <v>4192.72</v>
      </c>
    </row>
    <row r="60" spans="2:12" x14ac:dyDescent="0.35">
      <c r="B60" t="s">
        <v>13</v>
      </c>
      <c r="C60" s="18">
        <f>IFERROR('Data Sheet'!B68,0)</f>
        <v>0</v>
      </c>
      <c r="D60" s="18">
        <f>IFERROR('Data Sheet'!C68,0)</f>
        <v>0</v>
      </c>
      <c r="E60" s="18">
        <f>IFERROR('Data Sheet'!D68,0)</f>
        <v>0</v>
      </c>
      <c r="F60" s="18">
        <f>IFERROR('Data Sheet'!E68,0)</f>
        <v>0</v>
      </c>
      <c r="G60" s="18">
        <f>IFERROR('Data Sheet'!F68,0)</f>
        <v>0</v>
      </c>
      <c r="H60" s="18">
        <f>IFERROR('Data Sheet'!G68,0)</f>
        <v>0</v>
      </c>
      <c r="I60" s="18">
        <f>IFERROR('Data Sheet'!H68,0)</f>
        <v>0</v>
      </c>
      <c r="J60" s="18">
        <f>IFERROR('Data Sheet'!I68,0)</f>
        <v>0</v>
      </c>
      <c r="K60" s="18">
        <f>IFERROR('Data Sheet'!J68,0)</f>
        <v>0</v>
      </c>
      <c r="L60" s="18">
        <f>IFERROR('Data Sheet'!K68,0)</f>
        <v>0</v>
      </c>
    </row>
    <row r="61" spans="2:12" x14ac:dyDescent="0.35">
      <c r="B61" t="s">
        <v>12</v>
      </c>
      <c r="C61" s="18">
        <f>IFERROR('Data Sheet'!B69,0)</f>
        <v>614.41</v>
      </c>
      <c r="D61" s="18">
        <f>IFERROR('Data Sheet'!C69,0)</f>
        <v>706.72</v>
      </c>
      <c r="E61" s="18">
        <f>IFERROR('Data Sheet'!D69,0)</f>
        <v>641.61</v>
      </c>
      <c r="F61" s="18">
        <f>IFERROR('Data Sheet'!E69,0)</f>
        <v>1125.7</v>
      </c>
      <c r="G61" s="18">
        <f>IFERROR('Data Sheet'!F69,0)</f>
        <v>1062.24</v>
      </c>
      <c r="H61" s="18">
        <f>IFERROR('Data Sheet'!G69,0)</f>
        <v>949.44</v>
      </c>
      <c r="I61" s="18">
        <f>IFERROR('Data Sheet'!H69,0)</f>
        <v>1053.44</v>
      </c>
      <c r="J61" s="18">
        <f>IFERROR('Data Sheet'!I69,0)</f>
        <v>814.37</v>
      </c>
      <c r="K61" s="18">
        <f>IFERROR('Data Sheet'!J69,0)</f>
        <v>1612.58</v>
      </c>
      <c r="L61" s="18">
        <f>IFERROR('Data Sheet'!K69,0)</f>
        <v>1752.71</v>
      </c>
    </row>
    <row r="62" spans="2:12" x14ac:dyDescent="0.35">
      <c r="B62" s="20" t="s">
        <v>112</v>
      </c>
      <c r="C62" s="21">
        <f>SUM(C59:C61)</f>
        <v>1242.28</v>
      </c>
      <c r="D62" s="21">
        <f t="shared" ref="D62:L62" si="19">SUM(D59:D61)</f>
        <v>1518.35</v>
      </c>
      <c r="E62" s="21">
        <f t="shared" si="19"/>
        <v>1596.98</v>
      </c>
      <c r="F62" s="21">
        <f t="shared" si="19"/>
        <v>1960.95</v>
      </c>
      <c r="G62" s="21">
        <f t="shared" si="19"/>
        <v>1991.72</v>
      </c>
      <c r="H62" s="21">
        <f t="shared" si="19"/>
        <v>3176.38</v>
      </c>
      <c r="I62" s="21">
        <f t="shared" si="19"/>
        <v>3574.07</v>
      </c>
      <c r="J62" s="21">
        <f t="shared" si="19"/>
        <v>3239.93</v>
      </c>
      <c r="K62" s="21">
        <f t="shared" si="19"/>
        <v>4453.3099999999995</v>
      </c>
      <c r="L62" s="21">
        <f t="shared" si="19"/>
        <v>5945.43</v>
      </c>
    </row>
    <row r="63" spans="2:12" x14ac:dyDescent="0.35"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2:12" x14ac:dyDescent="0.35">
      <c r="B64" s="20" t="s">
        <v>113</v>
      </c>
      <c r="C64" s="21">
        <f>SUM(C62,C57)</f>
        <v>7301.25</v>
      </c>
      <c r="D64" s="21">
        <f t="shared" ref="D64:L64" si="20">SUM(D62,D57)</f>
        <v>6980.3700000000008</v>
      </c>
      <c r="E64" s="21">
        <f t="shared" si="20"/>
        <v>7368.27</v>
      </c>
      <c r="F64" s="21">
        <f t="shared" si="20"/>
        <v>8739.77</v>
      </c>
      <c r="G64" s="21">
        <f t="shared" si="20"/>
        <v>9364.66</v>
      </c>
      <c r="H64" s="21">
        <f t="shared" si="20"/>
        <v>10684.32</v>
      </c>
      <c r="I64" s="21">
        <f t="shared" si="20"/>
        <v>11506.5</v>
      </c>
      <c r="J64" s="21">
        <f t="shared" si="20"/>
        <v>14000.33</v>
      </c>
      <c r="K64" s="21">
        <f t="shared" si="20"/>
        <v>14744.33</v>
      </c>
      <c r="L64" s="21">
        <f t="shared" si="20"/>
        <v>17608.98</v>
      </c>
    </row>
    <row r="66" spans="1:12" x14ac:dyDescent="0.35">
      <c r="B66" s="11" t="s">
        <v>114</v>
      </c>
      <c r="C66" s="11" t="b">
        <f>C64=C51</f>
        <v>1</v>
      </c>
      <c r="D66" s="11" t="b">
        <f t="shared" ref="D66:L66" si="21">D64=D51</f>
        <v>1</v>
      </c>
      <c r="E66" s="11" t="b">
        <f t="shared" si="21"/>
        <v>1</v>
      </c>
      <c r="F66" s="11" t="b">
        <f t="shared" si="21"/>
        <v>1</v>
      </c>
      <c r="G66" s="11" t="b">
        <f t="shared" si="21"/>
        <v>1</v>
      </c>
      <c r="H66" s="11" t="b">
        <f t="shared" si="21"/>
        <v>1</v>
      </c>
      <c r="I66" s="11" t="b">
        <f t="shared" si="21"/>
        <v>1</v>
      </c>
      <c r="J66" s="11" t="b">
        <f t="shared" si="21"/>
        <v>1</v>
      </c>
      <c r="K66" s="11" t="b">
        <f t="shared" si="21"/>
        <v>1</v>
      </c>
      <c r="L66" s="11" t="b">
        <f t="shared" si="21"/>
        <v>1</v>
      </c>
    </row>
    <row r="69" spans="1:12" x14ac:dyDescent="0.35">
      <c r="A69" t="s">
        <v>56</v>
      </c>
      <c r="B69" s="17" t="s">
        <v>115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2" x14ac:dyDescent="0.35">
      <c r="B70" s="11" t="s">
        <v>116</v>
      </c>
    </row>
    <row r="71" spans="1:12" x14ac:dyDescent="0.35">
      <c r="B71" t="s">
        <v>82</v>
      </c>
      <c r="C71" s="18">
        <f>IFERROR('Cash Flow statement'!C4,0)</f>
        <v>38626</v>
      </c>
      <c r="D71" s="18">
        <f>IFERROR('Cash Flow statement'!D4,0)</f>
        <v>28840</v>
      </c>
      <c r="E71" s="18">
        <f>IFERROR('Cash Flow statement'!E4,0)</f>
        <v>33312</v>
      </c>
      <c r="F71" s="18">
        <f>IFERROR('Cash Flow statement'!F4,0)</f>
        <v>28771</v>
      </c>
      <c r="G71" s="18">
        <f>IFERROR('Cash Flow statement'!G4,0)</f>
        <v>23352</v>
      </c>
      <c r="H71" s="18">
        <f>IFERROR('Cash Flow statement'!H4,0)</f>
        <v>31198</v>
      </c>
      <c r="I71" s="18">
        <f>IFERROR('Cash Flow statement'!I4,0)</f>
        <v>26943</v>
      </c>
      <c r="J71" s="18">
        <f>IFERROR('Cash Flow statement'!J4,0)</f>
        <v>41694</v>
      </c>
      <c r="K71" s="18">
        <f>IFERROR('Cash Flow statement'!K4,0)</f>
        <v>65106</v>
      </c>
      <c r="L71" s="18">
        <f>IFERROR('Cash Flow statement'!L4,0)</f>
        <v>58937</v>
      </c>
    </row>
    <row r="72" spans="1:12" x14ac:dyDescent="0.35">
      <c r="B72" t="s">
        <v>14</v>
      </c>
      <c r="C72" s="18">
        <f>IFERROR('Cash Flow statement'!C5,0)</f>
        <v>-2223</v>
      </c>
      <c r="D72" s="18">
        <f>IFERROR('Cash Flow statement'!D5,0)</f>
        <v>-4152</v>
      </c>
      <c r="E72" s="18">
        <f>IFERROR('Cash Flow statement'!E5,0)</f>
        <v>-10688</v>
      </c>
      <c r="F72" s="18">
        <f>IFERROR('Cash Flow statement'!F5,0)</f>
        <v>-9109</v>
      </c>
      <c r="G72" s="18">
        <f>IFERROR('Cash Flow statement'!G5,0)</f>
        <v>9950</v>
      </c>
      <c r="H72" s="18">
        <f>IFERROR('Cash Flow statement'!H5,0)</f>
        <v>-5505</v>
      </c>
      <c r="I72" s="18">
        <f>IFERROR('Cash Flow statement'!I5,0)</f>
        <v>185</v>
      </c>
      <c r="J72" s="18">
        <f>IFERROR('Cash Flow statement'!J5,0)</f>
        <v>-2213</v>
      </c>
      <c r="K72" s="18">
        <f>IFERROR('Cash Flow statement'!K5,0)</f>
        <v>-1876</v>
      </c>
      <c r="L72" s="18">
        <f>IFERROR('Cash Flow statement'!L5,0)</f>
        <v>3573</v>
      </c>
    </row>
    <row r="73" spans="1:12" x14ac:dyDescent="0.35">
      <c r="B73" t="s">
        <v>13</v>
      </c>
      <c r="C73" s="18">
        <f>IFERROR('Cash Flow statement'!C6,0)</f>
        <v>-5743</v>
      </c>
      <c r="D73" s="18">
        <f>IFERROR('Cash Flow statement'!D6,0)</f>
        <v>-6621</v>
      </c>
      <c r="E73" s="18">
        <f>IFERROR('Cash Flow statement'!E6,0)</f>
        <v>-3560</v>
      </c>
      <c r="F73" s="18">
        <f>IFERROR('Cash Flow statement'!F6,0)</f>
        <v>2069</v>
      </c>
      <c r="G73" s="18">
        <f>IFERROR('Cash Flow statement'!G6,0)</f>
        <v>2326</v>
      </c>
      <c r="H73" s="18">
        <f>IFERROR('Cash Flow statement'!H6,0)</f>
        <v>3814</v>
      </c>
      <c r="I73" s="18">
        <f>IFERROR('Cash Flow statement'!I6,0)</f>
        <v>472</v>
      </c>
      <c r="J73" s="18">
        <f>IFERROR('Cash Flow statement'!J6,0)</f>
        <v>-5665</v>
      </c>
      <c r="K73" s="18">
        <f>IFERROR('Cash Flow statement'!K6,0)</f>
        <v>-7265</v>
      </c>
      <c r="L73" s="18">
        <f>IFERROR('Cash Flow statement'!L6,0)</f>
        <v>2127</v>
      </c>
    </row>
    <row r="74" spans="1:12" x14ac:dyDescent="0.35">
      <c r="B74" t="s">
        <v>83</v>
      </c>
      <c r="C74" s="18">
        <f>IFERROR('Cash Flow statement'!C7,0)</f>
        <v>3947</v>
      </c>
      <c r="D74" s="18">
        <f>IFERROR('Cash Flow statement'!D7,0)</f>
        <v>9301</v>
      </c>
      <c r="E74" s="18">
        <f>IFERROR('Cash Flow statement'!E7,0)</f>
        <v>7320</v>
      </c>
      <c r="F74" s="18">
        <f>IFERROR('Cash Flow statement'!F7,0)</f>
        <v>-4692</v>
      </c>
      <c r="G74" s="18">
        <f>IFERROR('Cash Flow statement'!G7,0)</f>
        <v>-8085</v>
      </c>
      <c r="H74" s="18">
        <f>IFERROR('Cash Flow statement'!H7,0)</f>
        <v>5748</v>
      </c>
      <c r="I74" s="18">
        <f>IFERROR('Cash Flow statement'!I7,0)</f>
        <v>-7012</v>
      </c>
      <c r="J74" s="18">
        <f>IFERROR('Cash Flow statement'!J7,0)</f>
        <v>6945</v>
      </c>
      <c r="K74" s="18">
        <f>IFERROR('Cash Flow statement'!K7,0)</f>
        <v>13706</v>
      </c>
      <c r="L74" s="18">
        <f>IFERROR('Cash Flow statement'!L7,0)</f>
        <v>1303</v>
      </c>
    </row>
    <row r="75" spans="1:12" x14ac:dyDescent="0.35">
      <c r="B75" t="s">
        <v>84</v>
      </c>
      <c r="C75" s="18">
        <f>IFERROR('Cash Flow statement'!C8,0)</f>
        <v>-520</v>
      </c>
      <c r="D75" s="18">
        <f>IFERROR('Cash Flow statement'!D8,0)</f>
        <v>0</v>
      </c>
      <c r="E75" s="18">
        <f>IFERROR('Cash Flow statement'!E8,0)</f>
        <v>0</v>
      </c>
      <c r="F75" s="18">
        <f>IFERROR('Cash Flow statement'!F8,0)</f>
        <v>0</v>
      </c>
      <c r="G75" s="18">
        <f>IFERROR('Cash Flow statement'!G8,0)</f>
        <v>0</v>
      </c>
      <c r="H75" s="18">
        <f>IFERROR('Cash Flow statement'!H8,0)</f>
        <v>0</v>
      </c>
      <c r="I75" s="18">
        <f>IFERROR('Cash Flow statement'!I8,0)</f>
        <v>0</v>
      </c>
      <c r="J75" s="18">
        <f>IFERROR('Cash Flow statement'!J8,0)</f>
        <v>0</v>
      </c>
      <c r="K75" s="18">
        <f>IFERROR('Cash Flow statement'!K8,0)</f>
        <v>0</v>
      </c>
      <c r="L75" s="18">
        <f>IFERROR('Cash Flow statement'!L8,0)</f>
        <v>0</v>
      </c>
    </row>
    <row r="76" spans="1:12" x14ac:dyDescent="0.35">
      <c r="B76" t="s">
        <v>85</v>
      </c>
      <c r="C76" s="18">
        <f>IFERROR('Cash Flow statement'!C9,0)</f>
        <v>5852</v>
      </c>
      <c r="D76" s="18">
        <f>IFERROR('Cash Flow statement'!D9,0)</f>
        <v>4727</v>
      </c>
      <c r="E76" s="18">
        <f>IFERROR('Cash Flow statement'!E9,0)</f>
        <v>494</v>
      </c>
      <c r="F76" s="18">
        <f>IFERROR('Cash Flow statement'!F9,0)</f>
        <v>4512</v>
      </c>
      <c r="G76" s="18">
        <f>IFERROR('Cash Flow statement'!G9,0)</f>
        <v>875</v>
      </c>
      <c r="H76" s="18">
        <f>IFERROR('Cash Flow statement'!H9,0)</f>
        <v>-4150</v>
      </c>
      <c r="I76" s="18">
        <f>IFERROR('Cash Flow statement'!I9,0)</f>
        <v>-4396</v>
      </c>
      <c r="J76" s="18">
        <f>IFERROR('Cash Flow statement'!J9,0)</f>
        <v>-2194</v>
      </c>
      <c r="K76" s="18">
        <f>IFERROR('Cash Flow statement'!K9,0)</f>
        <v>2760</v>
      </c>
      <c r="L76" s="18">
        <f>IFERROR('Cash Flow statement'!L9,0)</f>
        <v>1153</v>
      </c>
    </row>
    <row r="77" spans="1:12" x14ac:dyDescent="0.35">
      <c r="B77" t="s">
        <v>86</v>
      </c>
      <c r="C77" s="18">
        <f>IFERROR('Cash Flow statement'!C10,0)</f>
        <v>-2040</v>
      </c>
      <c r="D77" s="18">
        <f>IFERROR('Cash Flow statement'!D10,0)</f>
        <v>-1895</v>
      </c>
      <c r="E77" s="18">
        <f>IFERROR('Cash Flow statement'!E10,0)</f>
        <v>-3021</v>
      </c>
      <c r="F77" s="18">
        <f>IFERROR('Cash Flow statement'!F10,0)</f>
        <v>-2659</v>
      </c>
      <c r="G77" s="18">
        <f>IFERROR('Cash Flow statement'!G10,0)</f>
        <v>-1785</v>
      </c>
      <c r="H77" s="18">
        <f>IFERROR('Cash Flow statement'!H10,0)</f>
        <v>-2105</v>
      </c>
      <c r="I77" s="18">
        <f>IFERROR('Cash Flow statement'!I10,0)</f>
        <v>-1910</v>
      </c>
      <c r="J77" s="18">
        <f>IFERROR('Cash Flow statement'!J10,0)</f>
        <v>-3179</v>
      </c>
      <c r="K77" s="18">
        <f>IFERROR('Cash Flow statement'!K10,0)</f>
        <v>-4516</v>
      </c>
      <c r="L77" s="18">
        <f>IFERROR('Cash Flow statement'!L10,0)</f>
        <v>-3991</v>
      </c>
    </row>
    <row r="78" spans="1:12" x14ac:dyDescent="0.35">
      <c r="B78" s="11" t="s">
        <v>117</v>
      </c>
      <c r="C78" s="19">
        <f t="shared" ref="C78:L78" si="22">IFERROR(SUM(C71:C77),0)</f>
        <v>37899</v>
      </c>
      <c r="D78" s="19">
        <f t="shared" si="22"/>
        <v>30200</v>
      </c>
      <c r="E78" s="19">
        <f t="shared" si="22"/>
        <v>23857</v>
      </c>
      <c r="F78" s="19">
        <f t="shared" si="22"/>
        <v>18892</v>
      </c>
      <c r="G78" s="19">
        <f t="shared" si="22"/>
        <v>26633</v>
      </c>
      <c r="H78" s="19">
        <f t="shared" si="22"/>
        <v>29000</v>
      </c>
      <c r="I78" s="19">
        <f t="shared" si="22"/>
        <v>14282</v>
      </c>
      <c r="J78" s="19">
        <f t="shared" si="22"/>
        <v>35388</v>
      </c>
      <c r="K78" s="19">
        <f t="shared" si="22"/>
        <v>67915</v>
      </c>
      <c r="L78" s="19">
        <f t="shared" si="22"/>
        <v>63102</v>
      </c>
    </row>
    <row r="81" spans="2:12" x14ac:dyDescent="0.35">
      <c r="B81" s="11" t="s">
        <v>118</v>
      </c>
    </row>
    <row r="82" spans="2:12" x14ac:dyDescent="0.35">
      <c r="B82" t="s">
        <v>87</v>
      </c>
      <c r="C82" s="18">
        <f>IFERROR('Cash Flow statement'!C12,0)</f>
        <v>-31503</v>
      </c>
      <c r="D82" s="18">
        <f>IFERROR('Cash Flow statement'!D12,0)</f>
        <v>-16072</v>
      </c>
      <c r="E82" s="18">
        <f>IFERROR('Cash Flow statement'!E12,0)</f>
        <v>-35079</v>
      </c>
      <c r="F82" s="18">
        <f>IFERROR('Cash Flow statement'!F12,0)</f>
        <v>-35304</v>
      </c>
      <c r="G82" s="18">
        <f>IFERROR('Cash Flow statement'!G12,0)</f>
        <v>-29702</v>
      </c>
      <c r="H82" s="18">
        <f>IFERROR('Cash Flow statement'!H12,0)</f>
        <v>-20205</v>
      </c>
      <c r="I82" s="18">
        <f>IFERROR('Cash Flow statement'!I12,0)</f>
        <v>-15168</v>
      </c>
      <c r="J82" s="18">
        <f>IFERROR('Cash Flow statement'!J12,0)</f>
        <v>-19230</v>
      </c>
      <c r="K82" s="18">
        <f>IFERROR('Cash Flow statement'!K12,0)</f>
        <v>-31414</v>
      </c>
      <c r="L82" s="18">
        <f>IFERROR('Cash Flow statement'!L12,0)</f>
        <v>-38042</v>
      </c>
    </row>
    <row r="83" spans="2:12" x14ac:dyDescent="0.35">
      <c r="B83" t="s">
        <v>88</v>
      </c>
      <c r="C83" s="18">
        <f>IFERROR('Cash Flow statement'!C13,0)</f>
        <v>59</v>
      </c>
      <c r="D83" s="18">
        <f>IFERROR('Cash Flow statement'!D13,0)</f>
        <v>53</v>
      </c>
      <c r="E83" s="18">
        <f>IFERROR('Cash Flow statement'!E13,0)</f>
        <v>30</v>
      </c>
      <c r="F83" s="18">
        <f>IFERROR('Cash Flow statement'!F13,0)</f>
        <v>67</v>
      </c>
      <c r="G83" s="18">
        <f>IFERROR('Cash Flow statement'!G13,0)</f>
        <v>171</v>
      </c>
      <c r="H83" s="18">
        <f>IFERROR('Cash Flow statement'!H13,0)</f>
        <v>351</v>
      </c>
      <c r="I83" s="18">
        <f>IFERROR('Cash Flow statement'!I13,0)</f>
        <v>230</v>
      </c>
      <c r="J83" s="18">
        <f>IFERROR('Cash Flow statement'!J13,0)</f>
        <v>285</v>
      </c>
      <c r="K83" s="18">
        <f>IFERROR('Cash Flow statement'!K13,0)</f>
        <v>231</v>
      </c>
      <c r="L83" s="18">
        <f>IFERROR('Cash Flow statement'!L13,0)</f>
        <v>974</v>
      </c>
    </row>
    <row r="84" spans="2:12" x14ac:dyDescent="0.35">
      <c r="B84" t="s">
        <v>89</v>
      </c>
      <c r="C84" s="18">
        <f>IFERROR('Cash Flow statement'!C14,0)</f>
        <v>-4728</v>
      </c>
      <c r="D84" s="18">
        <f>IFERROR('Cash Flow statement'!D14,0)</f>
        <v>-6</v>
      </c>
      <c r="E84" s="18">
        <f>IFERROR('Cash Flow statement'!E14,0)</f>
        <v>-329</v>
      </c>
      <c r="F84" s="18">
        <f>IFERROR('Cash Flow statement'!F14,0)</f>
        <v>-130</v>
      </c>
      <c r="G84" s="18">
        <f>IFERROR('Cash Flow statement'!G14,0)</f>
        <v>-1439</v>
      </c>
      <c r="H84" s="18">
        <f>IFERROR('Cash Flow statement'!H14,0)</f>
        <v>-7530</v>
      </c>
      <c r="I84" s="18">
        <f>IFERROR('Cash Flow statement'!I14,0)</f>
        <v>-3008</v>
      </c>
      <c r="J84" s="18">
        <f>IFERROR('Cash Flow statement'!J14,0)</f>
        <v>-50</v>
      </c>
      <c r="K84" s="18">
        <f>IFERROR('Cash Flow statement'!K14,0)</f>
        <v>-74</v>
      </c>
      <c r="L84" s="18">
        <f>IFERROR('Cash Flow statement'!L14,0)</f>
        <v>-12677</v>
      </c>
    </row>
    <row r="85" spans="2:12" x14ac:dyDescent="0.35">
      <c r="B85" t="s">
        <v>90</v>
      </c>
      <c r="C85" s="18">
        <f>IFERROR('Cash Flow statement'!C15,0)</f>
        <v>89</v>
      </c>
      <c r="D85" s="18">
        <f>IFERROR('Cash Flow statement'!D15,0)</f>
        <v>1965</v>
      </c>
      <c r="E85" s="18">
        <f>IFERROR('Cash Flow statement'!E15,0)</f>
        <v>2381</v>
      </c>
      <c r="F85" s="18">
        <f>IFERROR('Cash Flow statement'!F15,0)</f>
        <v>5644</v>
      </c>
      <c r="G85" s="18">
        <f>IFERROR('Cash Flow statement'!G15,0)</f>
        <v>21</v>
      </c>
      <c r="H85" s="18">
        <f>IFERROR('Cash Flow statement'!H15,0)</f>
        <v>226</v>
      </c>
      <c r="I85" s="18">
        <f>IFERROR('Cash Flow statement'!I15,0)</f>
        <v>104</v>
      </c>
      <c r="J85" s="18">
        <f>IFERROR('Cash Flow statement'!J15,0)</f>
        <v>6895</v>
      </c>
      <c r="K85" s="18">
        <f>IFERROR('Cash Flow statement'!K15,0)</f>
        <v>10821</v>
      </c>
      <c r="L85" s="18">
        <f>IFERROR('Cash Flow statement'!L15,0)</f>
        <v>111</v>
      </c>
    </row>
    <row r="86" spans="2:12" x14ac:dyDescent="0.35">
      <c r="B86" t="s">
        <v>91</v>
      </c>
      <c r="C86" s="18">
        <f>IFERROR('Cash Flow statement'!C16,0)</f>
        <v>731</v>
      </c>
      <c r="D86" s="18">
        <f>IFERROR('Cash Flow statement'!D16,0)</f>
        <v>638</v>
      </c>
      <c r="E86" s="18">
        <f>IFERROR('Cash Flow statement'!E16,0)</f>
        <v>690</v>
      </c>
      <c r="F86" s="18">
        <f>IFERROR('Cash Flow statement'!F16,0)</f>
        <v>761</v>
      </c>
      <c r="G86" s="18">
        <f>IFERROR('Cash Flow statement'!G16,0)</f>
        <v>1104</v>
      </c>
      <c r="H86" s="18">
        <f>IFERROR('Cash Flow statement'!H16,0)</f>
        <v>428</v>
      </c>
      <c r="I86" s="18">
        <f>IFERROR('Cash Flow statement'!I16,0)</f>
        <v>653</v>
      </c>
      <c r="J86" s="18">
        <f>IFERROR('Cash Flow statement'!J16,0)</f>
        <v>973</v>
      </c>
      <c r="K86" s="18">
        <f>IFERROR('Cash Flow statement'!K16,0)</f>
        <v>2493</v>
      </c>
      <c r="L86" s="18">
        <f>IFERROR('Cash Flow statement'!L16,0)</f>
        <v>2420</v>
      </c>
    </row>
    <row r="87" spans="2:12" x14ac:dyDescent="0.35">
      <c r="B87" t="s">
        <v>92</v>
      </c>
      <c r="C87" s="18">
        <f>IFERROR('Cash Flow statement'!C17,0)</f>
        <v>58</v>
      </c>
      <c r="D87" s="18">
        <f>IFERROR('Cash Flow statement'!D17,0)</f>
        <v>620</v>
      </c>
      <c r="E87" s="18">
        <f>IFERROR('Cash Flow statement'!E17,0)</f>
        <v>1797</v>
      </c>
      <c r="F87" s="18">
        <f>IFERROR('Cash Flow statement'!F17,0)</f>
        <v>232</v>
      </c>
      <c r="G87" s="18">
        <f>IFERROR('Cash Flow statement'!G17,0)</f>
        <v>21</v>
      </c>
      <c r="H87" s="18">
        <f>IFERROR('Cash Flow statement'!H17,0)</f>
        <v>18</v>
      </c>
      <c r="I87" s="18">
        <f>IFERROR('Cash Flow statement'!I17,0)</f>
        <v>32</v>
      </c>
      <c r="J87" s="18">
        <f>IFERROR('Cash Flow statement'!J17,0)</f>
        <v>46</v>
      </c>
      <c r="K87" s="18">
        <f>IFERROR('Cash Flow statement'!K17,0)</f>
        <v>47</v>
      </c>
      <c r="L87" s="18">
        <f>IFERROR('Cash Flow statement'!L17,0)</f>
        <v>64</v>
      </c>
    </row>
    <row r="88" spans="2:12" x14ac:dyDescent="0.35">
      <c r="B88" t="s">
        <v>93</v>
      </c>
      <c r="C88" s="18">
        <f>IFERROR('Cash Flow statement'!C18,0)</f>
        <v>0</v>
      </c>
      <c r="D88" s="18">
        <f>IFERROR('Cash Flow statement'!D18,0)</f>
        <v>-107</v>
      </c>
      <c r="E88" s="18">
        <f>IFERROR('Cash Flow statement'!E18,0)</f>
        <v>-4</v>
      </c>
      <c r="F88" s="18">
        <f>IFERROR('Cash Flow statement'!F18,0)</f>
        <v>-9</v>
      </c>
      <c r="G88" s="18">
        <f>IFERROR('Cash Flow statement'!G18,0)</f>
        <v>-606</v>
      </c>
      <c r="H88" s="18">
        <f>IFERROR('Cash Flow statement'!H18,0)</f>
        <v>-10</v>
      </c>
      <c r="I88" s="18">
        <f>IFERROR('Cash Flow statement'!I18,0)</f>
        <v>0</v>
      </c>
      <c r="J88" s="18">
        <f>IFERROR('Cash Flow statement'!J18,0)</f>
        <v>0</v>
      </c>
      <c r="K88" s="18">
        <f>IFERROR('Cash Flow statement'!K18,0)</f>
        <v>-150</v>
      </c>
      <c r="L88" s="18">
        <f>IFERROR('Cash Flow statement'!L18,0)</f>
        <v>0</v>
      </c>
    </row>
    <row r="89" spans="2:12" x14ac:dyDescent="0.35">
      <c r="B89" t="s">
        <v>94</v>
      </c>
      <c r="C89" s="18">
        <f>IFERROR('Cash Flow statement'!C19,0)</f>
        <v>0</v>
      </c>
      <c r="D89" s="18">
        <f>IFERROR('Cash Flow statement'!D19,0)</f>
        <v>0</v>
      </c>
      <c r="E89" s="18">
        <f>IFERROR('Cash Flow statement'!E19,0)</f>
        <v>14</v>
      </c>
      <c r="F89" s="18">
        <f>IFERROR('Cash Flow statement'!F19,0)</f>
        <v>533</v>
      </c>
      <c r="G89" s="18">
        <f>IFERROR('Cash Flow statement'!G19,0)</f>
        <v>0</v>
      </c>
      <c r="H89" s="18">
        <f>IFERROR('Cash Flow statement'!H19,0)</f>
        <v>0</v>
      </c>
      <c r="I89" s="18">
        <f>IFERROR('Cash Flow statement'!I19,0)</f>
        <v>0</v>
      </c>
      <c r="J89" s="18">
        <f>IFERROR('Cash Flow statement'!J19,0)</f>
        <v>19</v>
      </c>
      <c r="K89" s="18">
        <f>IFERROR('Cash Flow statement'!K19,0)</f>
        <v>107</v>
      </c>
      <c r="L89" s="18">
        <f>IFERROR('Cash Flow statement'!L19,0)</f>
        <v>765</v>
      </c>
    </row>
    <row r="90" spans="2:12" x14ac:dyDescent="0.35">
      <c r="B90" t="s">
        <v>95</v>
      </c>
      <c r="C90" s="18">
        <f>IFERROR('Cash Flow statement'!C20,0)</f>
        <v>-111</v>
      </c>
      <c r="D90" s="18">
        <f>IFERROR('Cash Flow statement'!D20,0)</f>
        <v>0</v>
      </c>
      <c r="E90" s="18">
        <f>IFERROR('Cash Flow statement'!E20,0)</f>
        <v>0</v>
      </c>
      <c r="F90" s="18">
        <f>IFERROR('Cash Flow statement'!F20,0)</f>
        <v>-8</v>
      </c>
      <c r="G90" s="18">
        <f>IFERROR('Cash Flow statement'!G20,0)</f>
        <v>-27</v>
      </c>
      <c r="H90" s="18">
        <f>IFERROR('Cash Flow statement'!H20,0)</f>
        <v>0</v>
      </c>
      <c r="I90" s="18">
        <f>IFERROR('Cash Flow statement'!I20,0)</f>
        <v>-98</v>
      </c>
      <c r="J90" s="18">
        <f>IFERROR('Cash Flow statement'!J20,0)</f>
        <v>0</v>
      </c>
      <c r="K90" s="18">
        <f>IFERROR('Cash Flow statement'!K20,0)</f>
        <v>0</v>
      </c>
      <c r="L90" s="18">
        <f>IFERROR('Cash Flow statement'!L20,0)</f>
        <v>-688</v>
      </c>
    </row>
    <row r="91" spans="2:12" x14ac:dyDescent="0.35">
      <c r="B91" t="s">
        <v>96</v>
      </c>
      <c r="C91" s="18">
        <f>IFERROR('Cash Flow statement'!C21,0)</f>
        <v>0</v>
      </c>
      <c r="D91" s="18">
        <f>IFERROR('Cash Flow statement'!D21,0)</f>
        <v>0</v>
      </c>
      <c r="E91" s="18">
        <f>IFERROR('Cash Flow statement'!E21,0)</f>
        <v>0</v>
      </c>
      <c r="F91" s="18">
        <f>IFERROR('Cash Flow statement'!F21,0)</f>
        <v>0</v>
      </c>
      <c r="G91" s="18">
        <f>IFERROR('Cash Flow statement'!G21,0)</f>
        <v>0</v>
      </c>
      <c r="H91" s="18">
        <f>IFERROR('Cash Flow statement'!H21,0)</f>
        <v>0</v>
      </c>
      <c r="I91" s="18">
        <f>IFERROR('Cash Flow statement'!I21,0)</f>
        <v>0</v>
      </c>
      <c r="J91" s="18">
        <f>IFERROR('Cash Flow statement'!J21,0)</f>
        <v>0</v>
      </c>
      <c r="K91" s="18">
        <f>IFERROR('Cash Flow statement'!K21,0)</f>
        <v>-25</v>
      </c>
      <c r="L91" s="18">
        <f>IFERROR('Cash Flow statement'!L21,0)</f>
        <v>-20</v>
      </c>
    </row>
    <row r="92" spans="2:12" x14ac:dyDescent="0.35">
      <c r="B92" t="s">
        <v>97</v>
      </c>
      <c r="C92" s="18">
        <f>IFERROR('Cash Flow statement'!C22,0)</f>
        <v>-1289</v>
      </c>
      <c r="D92" s="18">
        <f>IFERROR('Cash Flow statement'!D22,0)</f>
        <v>-26663</v>
      </c>
      <c r="E92" s="18">
        <f>IFERROR('Cash Flow statement'!E22,0)</f>
        <v>5360</v>
      </c>
      <c r="F92" s="18">
        <f>IFERROR('Cash Flow statement'!F22,0)</f>
        <v>7335</v>
      </c>
      <c r="G92" s="18">
        <f>IFERROR('Cash Flow statement'!G22,0)</f>
        <v>-2659</v>
      </c>
      <c r="H92" s="18">
        <f>IFERROR('Cash Flow statement'!H22,0)</f>
        <v>1051</v>
      </c>
      <c r="I92" s="18">
        <f>IFERROR('Cash Flow statement'!I22,0)</f>
        <v>12813</v>
      </c>
      <c r="J92" s="18">
        <f>IFERROR('Cash Flow statement'!J22,0)</f>
        <v>-4357</v>
      </c>
      <c r="K92" s="18">
        <f>IFERROR('Cash Flow statement'!K22,0)</f>
        <v>-4817</v>
      </c>
      <c r="L92" s="18">
        <f>IFERROR('Cash Flow statement'!L22,0)</f>
        <v>-2889</v>
      </c>
    </row>
    <row r="93" spans="2:12" x14ac:dyDescent="0.35">
      <c r="B93" s="11" t="s">
        <v>5</v>
      </c>
      <c r="C93" s="19">
        <f>SUM(C82:C92)</f>
        <v>-36694</v>
      </c>
      <c r="D93" s="19">
        <f t="shared" ref="D93:L93" si="23">SUM(D82:D92)</f>
        <v>-39572</v>
      </c>
      <c r="E93" s="19">
        <f t="shared" si="23"/>
        <v>-25140</v>
      </c>
      <c r="F93" s="19">
        <f t="shared" si="23"/>
        <v>-20879</v>
      </c>
      <c r="G93" s="19">
        <f t="shared" si="23"/>
        <v>-33116</v>
      </c>
      <c r="H93" s="19">
        <f t="shared" si="23"/>
        <v>-25671</v>
      </c>
      <c r="I93" s="19">
        <f t="shared" si="23"/>
        <v>-4442</v>
      </c>
      <c r="J93" s="19">
        <f t="shared" si="23"/>
        <v>-15419</v>
      </c>
      <c r="K93" s="19">
        <f t="shared" si="23"/>
        <v>-22781</v>
      </c>
      <c r="L93" s="19">
        <f t="shared" si="23"/>
        <v>-49982</v>
      </c>
    </row>
    <row r="95" spans="2:12" x14ac:dyDescent="0.35">
      <c r="B95" s="11" t="s">
        <v>119</v>
      </c>
    </row>
    <row r="96" spans="2:12" x14ac:dyDescent="0.35">
      <c r="B96" t="s">
        <v>98</v>
      </c>
      <c r="C96" s="18">
        <f>IFERROR('Cash Flow statement'!C24,0)</f>
        <v>7433</v>
      </c>
      <c r="D96" s="18">
        <f>IFERROR('Cash Flow statement'!D24,0)</f>
        <v>5</v>
      </c>
      <c r="E96" s="18">
        <f>IFERROR('Cash Flow statement'!E24,0)</f>
        <v>0</v>
      </c>
      <c r="F96" s="18">
        <f>IFERROR('Cash Flow statement'!F24,0)</f>
        <v>0</v>
      </c>
      <c r="G96" s="18">
        <f>IFERROR('Cash Flow statement'!G24,0)</f>
        <v>3889</v>
      </c>
      <c r="H96" s="18">
        <f>IFERROR('Cash Flow statement'!H24,0)</f>
        <v>2603</v>
      </c>
      <c r="I96" s="18">
        <f>IFERROR('Cash Flow statement'!I24,0)</f>
        <v>19</v>
      </c>
      <c r="J96" s="18">
        <f>IFERROR('Cash Flow statement'!J24,0)</f>
        <v>20</v>
      </c>
      <c r="K96" s="18">
        <f>IFERROR('Cash Flow statement'!K24,0)</f>
        <v>82</v>
      </c>
      <c r="L96" s="18">
        <f>IFERROR('Cash Flow statement'!L24,0)</f>
        <v>1108</v>
      </c>
    </row>
    <row r="97" spans="2:12" x14ac:dyDescent="0.35">
      <c r="B97" t="s">
        <v>99</v>
      </c>
      <c r="C97" s="18">
        <f>IFERROR('Cash Flow statement'!C25,0)</f>
        <v>0</v>
      </c>
      <c r="D97" s="18">
        <f>IFERROR('Cash Flow statement'!D25,0)</f>
        <v>0</v>
      </c>
      <c r="E97" s="18">
        <f>IFERROR('Cash Flow statement'!E25,0)</f>
        <v>0</v>
      </c>
      <c r="F97" s="18">
        <f>IFERROR('Cash Flow statement'!F25,0)</f>
        <v>0</v>
      </c>
      <c r="G97" s="18">
        <f>IFERROR('Cash Flow statement'!G25,0)</f>
        <v>0</v>
      </c>
      <c r="H97" s="18">
        <f>IFERROR('Cash Flow statement'!H25,0)</f>
        <v>0</v>
      </c>
      <c r="I97" s="18">
        <f>IFERROR('Cash Flow statement'!I25,0)</f>
        <v>0</v>
      </c>
      <c r="J97" s="18">
        <f>IFERROR('Cash Flow statement'!J25,0)</f>
        <v>0</v>
      </c>
      <c r="K97" s="18">
        <f>IFERROR('Cash Flow statement'!K25,0)</f>
        <v>0</v>
      </c>
      <c r="L97" s="18">
        <f>IFERROR('Cash Flow statement'!L25,0)</f>
        <v>0</v>
      </c>
    </row>
    <row r="98" spans="2:12" x14ac:dyDescent="0.35">
      <c r="B98" t="s">
        <v>100</v>
      </c>
      <c r="C98" s="18">
        <f>IFERROR('Cash Flow statement'!C26,0)</f>
        <v>19519</v>
      </c>
      <c r="D98" s="18">
        <f>IFERROR('Cash Flow statement'!D26,0)</f>
        <v>33390</v>
      </c>
      <c r="E98" s="18">
        <f>IFERROR('Cash Flow statement'!E26,0)</f>
        <v>37482</v>
      </c>
      <c r="F98" s="18">
        <f>IFERROR('Cash Flow statement'!F26,0)</f>
        <v>51128</v>
      </c>
      <c r="G98" s="18">
        <f>IFERROR('Cash Flow statement'!G26,0)</f>
        <v>38297</v>
      </c>
      <c r="H98" s="18">
        <f>IFERROR('Cash Flow statement'!H26,0)</f>
        <v>46641</v>
      </c>
      <c r="I98" s="18">
        <f>IFERROR('Cash Flow statement'!I26,0)</f>
        <v>46578</v>
      </c>
      <c r="J98" s="18">
        <f>IFERROR('Cash Flow statement'!J26,0)</f>
        <v>43934</v>
      </c>
      <c r="K98" s="18">
        <f>IFERROR('Cash Flow statement'!K26,0)</f>
        <v>18829</v>
      </c>
      <c r="L98" s="18">
        <f>IFERROR('Cash Flow statement'!L26,0)</f>
        <v>13384</v>
      </c>
    </row>
    <row r="99" spans="2:12" x14ac:dyDescent="0.35">
      <c r="B99" t="s">
        <v>101</v>
      </c>
      <c r="C99" s="18">
        <f>IFERROR('Cash Flow statement'!C27,0)</f>
        <v>-24924</v>
      </c>
      <c r="D99" s="18">
        <f>IFERROR('Cash Flow statement'!D27,0)</f>
        <v>-21732</v>
      </c>
      <c r="E99" s="18">
        <f>IFERROR('Cash Flow statement'!E27,0)</f>
        <v>-29964</v>
      </c>
      <c r="F99" s="18">
        <f>IFERROR('Cash Flow statement'!F27,0)</f>
        <v>-35198</v>
      </c>
      <c r="G99" s="18">
        <f>IFERROR('Cash Flow statement'!G27,0)</f>
        <v>-29847</v>
      </c>
      <c r="H99" s="18">
        <f>IFERROR('Cash Flow statement'!H27,0)</f>
        <v>-29709</v>
      </c>
      <c r="I99" s="18">
        <f>IFERROR('Cash Flow statement'!I27,0)</f>
        <v>-42816</v>
      </c>
      <c r="J99" s="18">
        <f>IFERROR('Cash Flow statement'!J27,0)</f>
        <v>-62557</v>
      </c>
      <c r="K99" s="18">
        <f>IFERROR('Cash Flow statement'!K27,0)</f>
        <v>-47414</v>
      </c>
      <c r="L99" s="18">
        <f>IFERROR('Cash Flow statement'!L27,0)</f>
        <v>-21443</v>
      </c>
    </row>
    <row r="100" spans="2:12" x14ac:dyDescent="0.35">
      <c r="B100" t="s">
        <v>102</v>
      </c>
      <c r="C100" s="18">
        <f>IFERROR('Cash Flow statement'!C28,0)</f>
        <v>-5716</v>
      </c>
      <c r="D100" s="18">
        <f>IFERROR('Cash Flow statement'!D28,0)</f>
        <v>-5336</v>
      </c>
      <c r="E100" s="18">
        <f>IFERROR('Cash Flow statement'!E28,0)</f>
        <v>-5411</v>
      </c>
      <c r="F100" s="18">
        <f>IFERROR('Cash Flow statement'!F28,0)</f>
        <v>-7005</v>
      </c>
      <c r="G100" s="18">
        <f>IFERROR('Cash Flow statement'!G28,0)</f>
        <v>-7518</v>
      </c>
      <c r="H100" s="18">
        <f>IFERROR('Cash Flow statement'!H28,0)</f>
        <v>-8123</v>
      </c>
      <c r="I100" s="18">
        <f>IFERROR('Cash Flow statement'!I28,0)</f>
        <v>-9251</v>
      </c>
      <c r="J100" s="18">
        <f>IFERROR('Cash Flow statement'!J28,0)</f>
        <v>-9336</v>
      </c>
      <c r="K100" s="18">
        <f>IFERROR('Cash Flow statement'!K28,0)</f>
        <v>-9332</v>
      </c>
      <c r="L100" s="18">
        <f>IFERROR('Cash Flow statement'!L28,0)</f>
        <v>-5814</v>
      </c>
    </row>
    <row r="101" spans="2:12" x14ac:dyDescent="0.35">
      <c r="B101" t="s">
        <v>103</v>
      </c>
      <c r="C101" s="18">
        <f>IFERROR('Cash Flow statement'!C29,0)</f>
        <v>-108</v>
      </c>
      <c r="D101" s="18">
        <f>IFERROR('Cash Flow statement'!D29,0)</f>
        <v>-121</v>
      </c>
      <c r="E101" s="18">
        <f>IFERROR('Cash Flow statement'!E29,0)</f>
        <v>-96</v>
      </c>
      <c r="F101" s="18">
        <f>IFERROR('Cash Flow statement'!F29,0)</f>
        <v>-95</v>
      </c>
      <c r="G101" s="18">
        <f>IFERROR('Cash Flow statement'!G29,0)</f>
        <v>-57</v>
      </c>
      <c r="H101" s="18">
        <f>IFERROR('Cash Flow statement'!H29,0)</f>
        <v>-30</v>
      </c>
      <c r="I101" s="18">
        <f>IFERROR('Cash Flow statement'!I29,0)</f>
        <v>-100</v>
      </c>
      <c r="J101" s="18">
        <f>IFERROR('Cash Flow statement'!J29,0)</f>
        <v>-141</v>
      </c>
      <c r="K101" s="18">
        <f>IFERROR('Cash Flow statement'!K29,0)</f>
        <v>-1059</v>
      </c>
      <c r="L101" s="18">
        <f>IFERROR('Cash Flow statement'!L29,0)</f>
        <v>-2492</v>
      </c>
    </row>
    <row r="102" spans="2:12" x14ac:dyDescent="0.35">
      <c r="B102" t="s">
        <v>104</v>
      </c>
      <c r="C102" s="18">
        <f>IFERROR('Cash Flow statement'!C30,0)</f>
        <v>0</v>
      </c>
      <c r="D102" s="18">
        <f>IFERROR('Cash Flow statement'!D30,0)</f>
        <v>0</v>
      </c>
      <c r="E102" s="18">
        <f>IFERROR('Cash Flow statement'!E30,0)</f>
        <v>0</v>
      </c>
      <c r="F102" s="18">
        <f>IFERROR('Cash Flow statement'!F30,0)</f>
        <v>0</v>
      </c>
      <c r="G102" s="18">
        <f>IFERROR('Cash Flow statement'!G30,0)</f>
        <v>-1346</v>
      </c>
      <c r="H102" s="18">
        <f>IFERROR('Cash Flow statement'!H30,0)</f>
        <v>-1477</v>
      </c>
      <c r="I102" s="18">
        <f>IFERROR('Cash Flow statement'!I30,0)</f>
        <v>-1559</v>
      </c>
      <c r="J102" s="18">
        <f>IFERROR('Cash Flow statement'!J30,0)</f>
        <v>-1517</v>
      </c>
      <c r="K102" s="18">
        <f>IFERROR('Cash Flow statement'!K30,0)</f>
        <v>-1924</v>
      </c>
      <c r="L102" s="18">
        <f>IFERROR('Cash Flow statement'!L30,0)</f>
        <v>-2393</v>
      </c>
    </row>
    <row r="103" spans="2:12" x14ac:dyDescent="0.35">
      <c r="B103" t="s">
        <v>105</v>
      </c>
      <c r="C103" s="18">
        <f>IFERROR('Cash Flow statement'!C31,0)</f>
        <v>0</v>
      </c>
      <c r="D103" s="18">
        <f>IFERROR('Cash Flow statement'!D31,0)</f>
        <v>0</v>
      </c>
      <c r="E103" s="18">
        <f>IFERROR('Cash Flow statement'!E31,0)</f>
        <v>0</v>
      </c>
      <c r="F103" s="18">
        <f>IFERROR('Cash Flow statement'!F31,0)</f>
        <v>0</v>
      </c>
      <c r="G103" s="18">
        <f>IFERROR('Cash Flow statement'!G31,0)</f>
        <v>-29</v>
      </c>
      <c r="H103" s="18">
        <f>IFERROR('Cash Flow statement'!H31,0)</f>
        <v>0</v>
      </c>
      <c r="I103" s="18">
        <f>IFERROR('Cash Flow statement'!I31,0)</f>
        <v>3750</v>
      </c>
      <c r="J103" s="18">
        <f>IFERROR('Cash Flow statement'!J31,0)</f>
        <v>3355</v>
      </c>
      <c r="K103" s="18">
        <f>IFERROR('Cash Flow statement'!K31,0)</f>
        <v>3812</v>
      </c>
      <c r="L103" s="18">
        <f>IFERROR('Cash Flow statement'!L31,0)</f>
        <v>-1136</v>
      </c>
    </row>
    <row r="104" spans="2:12" x14ac:dyDescent="0.35">
      <c r="B104" s="11" t="s">
        <v>120</v>
      </c>
      <c r="C104" s="19">
        <f>IFERROR(SUM(C96:C103),0)</f>
        <v>-3796</v>
      </c>
      <c r="D104" s="19">
        <f t="shared" ref="D104:L104" si="24">IFERROR(SUM(D96:D103),0)</f>
        <v>6206</v>
      </c>
      <c r="E104" s="19">
        <f t="shared" si="24"/>
        <v>2011</v>
      </c>
      <c r="F104" s="19">
        <f t="shared" si="24"/>
        <v>8830</v>
      </c>
      <c r="G104" s="19">
        <f t="shared" si="24"/>
        <v>3389</v>
      </c>
      <c r="H104" s="19">
        <f t="shared" si="24"/>
        <v>9905</v>
      </c>
      <c r="I104" s="19">
        <f t="shared" si="24"/>
        <v>-3379</v>
      </c>
      <c r="J104" s="19">
        <f t="shared" si="24"/>
        <v>-26242</v>
      </c>
      <c r="K104" s="19">
        <f t="shared" si="24"/>
        <v>-37006</v>
      </c>
      <c r="L104" s="19">
        <f t="shared" si="24"/>
        <v>-18786</v>
      </c>
    </row>
    <row r="106" spans="2:12" x14ac:dyDescent="0.35">
      <c r="B106" s="11" t="s">
        <v>3</v>
      </c>
      <c r="C106" s="19">
        <f t="shared" ref="C106:L106" si="25">IFERROR(SUM(C78,C93,C104),0)</f>
        <v>-2591</v>
      </c>
      <c r="D106" s="19">
        <f t="shared" si="25"/>
        <v>-3166</v>
      </c>
      <c r="E106" s="19">
        <f t="shared" si="25"/>
        <v>728</v>
      </c>
      <c r="F106" s="19">
        <f t="shared" si="25"/>
        <v>6843</v>
      </c>
      <c r="G106" s="19">
        <f t="shared" si="25"/>
        <v>-3094</v>
      </c>
      <c r="H106" s="19">
        <f t="shared" si="25"/>
        <v>13234</v>
      </c>
      <c r="I106" s="19">
        <f t="shared" si="25"/>
        <v>6461</v>
      </c>
      <c r="J106" s="19">
        <f t="shared" si="25"/>
        <v>-6273</v>
      </c>
      <c r="K106" s="19">
        <f t="shared" si="25"/>
        <v>8128</v>
      </c>
      <c r="L106" s="19">
        <f t="shared" si="25"/>
        <v>-5666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5 M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40"/>
  <sheetViews>
    <sheetView showGridLines="0" zoomScale="70" workbookViewId="0">
      <pane ySplit="3" topLeftCell="A4" activePane="bottomLeft" state="frozen"/>
      <selection pane="bottomLeft" activeCell="O8" sqref="O8"/>
    </sheetView>
  </sheetViews>
  <sheetFormatPr defaultRowHeight="14.5" x14ac:dyDescent="0.35"/>
  <cols>
    <col min="1" max="1" width="1.90625" customWidth="1"/>
    <col min="2" max="2" width="26" bestFit="1" customWidth="1"/>
    <col min="3" max="3" width="10.81640625" bestFit="1" customWidth="1"/>
    <col min="4" max="12" width="9.6328125" bestFit="1" customWidth="1"/>
    <col min="13" max="13" width="26.1796875" customWidth="1"/>
    <col min="14" max="15" width="9.6328125" bestFit="1" customWidth="1"/>
    <col min="17" max="17" width="83.08984375" bestFit="1" customWidth="1"/>
  </cols>
  <sheetData>
    <row r="2" spans="2:15" x14ac:dyDescent="0.35">
      <c r="B2" s="46" t="str">
        <f>"Ratio Analysis Staement - "&amp;'Data Sheet'!B1</f>
        <v>Ratio Analysis Staement - MPHASIS LTD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35">
      <c r="B3" s="8" t="s">
        <v>54</v>
      </c>
      <c r="C3" s="9">
        <f>'Data Sheet'!B16</f>
        <v>42825</v>
      </c>
      <c r="D3" s="9">
        <f>'Data Sheet'!C16</f>
        <v>43190</v>
      </c>
      <c r="E3" s="9">
        <f>'Data Sheet'!D16</f>
        <v>43555</v>
      </c>
      <c r="F3" s="9">
        <f>'Data Sheet'!E16</f>
        <v>43921</v>
      </c>
      <c r="G3" s="9">
        <f>'Data Sheet'!F16</f>
        <v>44286</v>
      </c>
      <c r="H3" s="9">
        <f>'Data Sheet'!G16</f>
        <v>44651</v>
      </c>
      <c r="I3" s="9">
        <f>'Data Sheet'!H16</f>
        <v>45016</v>
      </c>
      <c r="J3" s="9">
        <f>'Data Sheet'!I16</f>
        <v>45382</v>
      </c>
      <c r="K3" s="9">
        <f>'Data Sheet'!J16</f>
        <v>45747</v>
      </c>
      <c r="L3" s="9">
        <f>'Data Sheet'!K16</f>
        <v>46112</v>
      </c>
      <c r="M3" s="34" t="s">
        <v>156</v>
      </c>
      <c r="N3" s="9" t="s">
        <v>154</v>
      </c>
      <c r="O3" s="9" t="s">
        <v>155</v>
      </c>
    </row>
    <row r="5" spans="2:15" x14ac:dyDescent="0.35">
      <c r="B5" s="25" t="s">
        <v>58</v>
      </c>
      <c r="C5" s="26"/>
      <c r="D5" s="27">
        <f>IFERROR(HistoricalFS!D6,0)</f>
        <v>7.7263361617810666E-2</v>
      </c>
      <c r="E5" s="27">
        <f>IFERROR(HistoricalFS!E6,0)</f>
        <v>0.18105239358126668</v>
      </c>
      <c r="F5" s="27">
        <f>IFERROR(HistoricalFS!F6,0)</f>
        <v>0.14390931033323096</v>
      </c>
      <c r="G5" s="27">
        <f>IFERROR(HistoricalFS!G6,0)</f>
        <v>9.9368578646107597E-2</v>
      </c>
      <c r="H5" s="27">
        <f>IFERROR(HistoricalFS!H6,0)</f>
        <v>0.23030843492955899</v>
      </c>
      <c r="I5" s="27">
        <f>IFERROR(HistoricalFS!I6,0)</f>
        <v>0.15358184298880406</v>
      </c>
      <c r="J5" s="27">
        <f>IFERROR(HistoricalFS!J6,0)</f>
        <v>-3.7683806210820014E-2</v>
      </c>
      <c r="K5" s="27">
        <f>IFERROR(HistoricalFS!K6,0)</f>
        <v>7.1654822977259558E-2</v>
      </c>
      <c r="L5" s="27">
        <f>IFERROR(HistoricalFS!L6,0)</f>
        <v>0.11592840191735898</v>
      </c>
      <c r="M5" s="27"/>
      <c r="N5" s="27">
        <f>IFERROR(AVERAGE(D5:L5),0)</f>
        <v>0.11504259342006416</v>
      </c>
      <c r="O5" s="27">
        <f>IFERROR(MEDIAN(C5:L5),0)</f>
        <v>0.11592840191735898</v>
      </c>
    </row>
    <row r="6" spans="2:15" x14ac:dyDescent="0.35">
      <c r="B6" t="s">
        <v>124</v>
      </c>
      <c r="D6" s="22">
        <f>IFERROR(HistoricalFS!D17/HistoricalFS!C17-1,0)</f>
        <v>9.6593724194881547E-2</v>
      </c>
      <c r="E6" s="22">
        <f>IFERROR(HistoricalFS!E17/HistoricalFS!D17-1,0)</f>
        <v>0.24609838287618402</v>
      </c>
      <c r="F6" s="22">
        <f>IFERROR(HistoricalFS!F17/HistoricalFS!E17-1,0)</f>
        <v>0.24667064502239722</v>
      </c>
      <c r="G6" s="22">
        <f>IFERROR(HistoricalFS!G17/HistoricalFS!F17-1,0)</f>
        <v>9.2396902531537428E-2</v>
      </c>
      <c r="H6" s="22">
        <f>IFERROR(HistoricalFS!H17/HistoricalFS!G17-1,0)</f>
        <v>0.17457165519421824</v>
      </c>
      <c r="I6" s="22">
        <f>IFERROR(HistoricalFS!I17/HistoricalFS!H17-1,0)</f>
        <v>0.14939554212315853</v>
      </c>
      <c r="J6" s="22">
        <f>IFERROR(HistoricalFS!J17/HistoricalFS!I17-1,0)</f>
        <v>-4.9589968610823654E-3</v>
      </c>
      <c r="K6" s="22">
        <f>IFERROR(HistoricalFS!K17/HistoricalFS!J17-1,0)</f>
        <v>9.2939811469554767E-2</v>
      </c>
      <c r="L6" s="22">
        <f>IFERROR(HistoricalFS!L17/HistoricalFS!K17-1,0)</f>
        <v>0.12512372590650478</v>
      </c>
      <c r="M6" s="22"/>
      <c r="N6" s="22">
        <f t="shared" ref="N6:N9" si="0">IFERROR(AVERAGE(D6:L6),0)</f>
        <v>0.13542571027303935</v>
      </c>
      <c r="O6" s="22">
        <f t="shared" ref="O6:O9" si="1">IFERROR(MEDIAN(C6:L6),0)</f>
        <v>0.12512372590650478</v>
      </c>
    </row>
    <row r="7" spans="2:15" x14ac:dyDescent="0.35">
      <c r="B7" t="s">
        <v>123</v>
      </c>
      <c r="D7" s="22">
        <f>IFERROR(HistoricalFS!D26/HistoricalFS!C26-1,0)</f>
        <v>0.1173709992349603</v>
      </c>
      <c r="E7" s="22">
        <f>IFERROR(HistoricalFS!E26/HistoricalFS!D26-1,0)</f>
        <v>0.25758257030739085</v>
      </c>
      <c r="F7" s="22">
        <f>IFERROR(HistoricalFS!F26/HistoricalFS!E26-1,0)</f>
        <v>8.6899286538492992E-2</v>
      </c>
      <c r="G7" s="22">
        <f>IFERROR(HistoricalFS!G26/HistoricalFS!F26-1,0)</f>
        <v>0.11969556505876278</v>
      </c>
      <c r="H7" s="22">
        <f>IFERROR(HistoricalFS!H26/HistoricalFS!G26-1,0)</f>
        <v>0.17012539561716289</v>
      </c>
      <c r="I7" s="22">
        <f>IFERROR(HistoricalFS!I26/HistoricalFS!H26-1,0)</f>
        <v>0.1477987959713547</v>
      </c>
      <c r="J7" s="22">
        <f>IFERROR(HistoricalFS!J26/HistoricalFS!I26-1,0)</f>
        <v>-8.0011533910691712E-2</v>
      </c>
      <c r="K7" s="22">
        <f>IFERROR(HistoricalFS!K26/HistoricalFS!J26-1,0)</f>
        <v>8.3554892678814552E-2</v>
      </c>
      <c r="L7" s="22">
        <f>IFERROR(HistoricalFS!L26/HistoricalFS!K26-1,0)</f>
        <v>0.10658108660741883</v>
      </c>
      <c r="M7" s="22"/>
      <c r="N7" s="22">
        <f t="shared" si="0"/>
        <v>0.11217745090040736</v>
      </c>
      <c r="O7" s="22">
        <f t="shared" si="1"/>
        <v>0.1173709992349603</v>
      </c>
    </row>
    <row r="8" spans="2:15" x14ac:dyDescent="0.35">
      <c r="B8" t="s">
        <v>122</v>
      </c>
      <c r="D8" s="22">
        <f>IFERROR(HistoricalFS!D32/HistoricalFS!C32-1,0)</f>
        <v>0.21181398950963026</v>
      </c>
      <c r="E8" s="22">
        <f>IFERROR(HistoricalFS!E32/HistoricalFS!D32-1,0)</f>
        <v>0.30234719962816681</v>
      </c>
      <c r="F8" s="22">
        <f>IFERROR(HistoricalFS!F32/HistoricalFS!E32-1,0)</f>
        <v>0.12309288008565344</v>
      </c>
      <c r="G8" s="22">
        <f>IFERROR(HistoricalFS!G32/HistoricalFS!F32-1,0)</f>
        <v>7.6315031628284347E-2</v>
      </c>
      <c r="H8" s="22">
        <f>IFERROR(HistoricalFS!H32/HistoricalFS!G32-1,0)</f>
        <v>0.17213477755429696</v>
      </c>
      <c r="I8" s="22">
        <f>IFERROR(HistoricalFS!I32/HistoricalFS!H32-1,0)</f>
        <v>0.16206323843108295</v>
      </c>
      <c r="J8" s="22">
        <f>IFERROR(HistoricalFS!J32/HistoricalFS!I32-1,0)</f>
        <v>-9.4356237130161613E-2</v>
      </c>
      <c r="K8" s="22">
        <f>IFERROR(HistoricalFS!K32/HistoricalFS!J32-1,0)</f>
        <v>8.2354789008391771E-2</v>
      </c>
      <c r="L8" s="22">
        <f>IFERROR(HistoricalFS!L32/HistoricalFS!K32-1,0)</f>
        <v>8.6419326529060925E-2</v>
      </c>
      <c r="M8" s="22"/>
      <c r="N8" s="22">
        <f t="shared" si="0"/>
        <v>0.12468722169382288</v>
      </c>
      <c r="O8" s="22">
        <f t="shared" si="1"/>
        <v>0.12309288008565344</v>
      </c>
    </row>
    <row r="9" spans="2:15" x14ac:dyDescent="0.35">
      <c r="B9" s="28" t="s">
        <v>121</v>
      </c>
      <c r="C9" s="28"/>
      <c r="D9" s="29">
        <f>IFERROR(HistoricalFS!D40/HistoricalFS!C40-1,0)</f>
        <v>0.17618934944035214</v>
      </c>
      <c r="E9" s="29">
        <f>IFERROR(HistoricalFS!E40/HistoricalFS!D40-1,0)</f>
        <v>0.35042440752147574</v>
      </c>
      <c r="F9" s="29">
        <f>IFERROR(HistoricalFS!F40/HistoricalFS!E40-1,0)</f>
        <v>0.29636803388673405</v>
      </c>
      <c r="G9" s="29">
        <f>IFERROR(HistoricalFS!G40/HistoricalFS!F40-1,0)</f>
        <v>0.85723344573362548</v>
      </c>
      <c r="H9" s="29">
        <f>IFERROR(HistoricalFS!H40/HistoricalFS!G40-1,0)</f>
        <v>-0.29237929658923745</v>
      </c>
      <c r="I9" s="29">
        <f>IFERROR(HistoricalFS!I40/HistoricalFS!H40-1,0)</f>
        <v>8.6838083336417293E-2</v>
      </c>
      <c r="J9" s="29">
        <f>IFERROR(HistoricalFS!J40/HistoricalFS!I40-1,0)</f>
        <v>0.10000510538061635</v>
      </c>
      <c r="K9" s="29">
        <f>IFERROR(HistoricalFS!K40/HistoricalFS!J40-1,0)</f>
        <v>3.619861913415412E-2</v>
      </c>
      <c r="L9" s="29">
        <f>IFERROR(HistoricalFS!L40/HistoricalFS!K40-1,0)</f>
        <v>8.8004451419536389E-2</v>
      </c>
      <c r="M9" s="29"/>
      <c r="N9" s="29">
        <f t="shared" si="0"/>
        <v>0.18876468880707492</v>
      </c>
      <c r="O9" s="29">
        <f t="shared" si="1"/>
        <v>0.10000510538061635</v>
      </c>
    </row>
    <row r="11" spans="2:15" x14ac:dyDescent="0.35">
      <c r="B11" s="25" t="s">
        <v>125</v>
      </c>
      <c r="C11" s="27">
        <f>IFERROR(HistoricalFS!C12,0)</f>
        <v>0.29887630094332779</v>
      </c>
      <c r="D11" s="27">
        <f>IFERROR(HistoricalFS!D12,0)</f>
        <v>0.29630116226488884</v>
      </c>
      <c r="E11" s="27">
        <f>IFERROR(HistoricalFS!E12,0)</f>
        <v>0.29680713182546076</v>
      </c>
      <c r="F11" s="27">
        <f>IFERROR(HistoricalFS!F12,0)</f>
        <v>0.26056646998826266</v>
      </c>
      <c r="G11" s="27">
        <f>IFERROR(HistoricalFS!G12,0)</f>
        <v>0.25413919120044515</v>
      </c>
      <c r="H11" s="27">
        <f>IFERROR(HistoricalFS!H12,0)</f>
        <v>0.23051154376061744</v>
      </c>
      <c r="I11" s="27">
        <f>IFERROR(HistoricalFS!I12,0)</f>
        <v>0.23002645215059611</v>
      </c>
      <c r="J11" s="27">
        <f>IFERROR(HistoricalFS!J12,0)</f>
        <v>0.23829236993279371</v>
      </c>
      <c r="K11" s="27">
        <f>IFERROR(HistoricalFS!K12,0)</f>
        <v>0.25311823831218438</v>
      </c>
      <c r="L11" s="27">
        <f>IFERROR(HistoricalFS!L12,0)</f>
        <v>0.25270834054906754</v>
      </c>
      <c r="M11" s="25"/>
      <c r="N11" s="27">
        <f>IFERROR(AVERAGE(D11:L11),0)</f>
        <v>0.25694121110936852</v>
      </c>
      <c r="O11" s="27">
        <f>IFERROR(MEDIAN(C11:L11),0)</f>
        <v>0.25362871475631477</v>
      </c>
    </row>
    <row r="12" spans="2:15" x14ac:dyDescent="0.35">
      <c r="B12" t="s">
        <v>127</v>
      </c>
      <c r="C12" s="22">
        <f>IFERROR(HistoricalFS!C18,0)</f>
        <v>0.15943755801170423</v>
      </c>
      <c r="D12" s="22">
        <f>IFERROR(HistoricalFS!D18,0)</f>
        <v>0.16229849797734136</v>
      </c>
      <c r="E12" s="22">
        <f>IFERROR(HistoricalFS!E18,0)</f>
        <v>0.17123702299061705</v>
      </c>
      <c r="F12" s="22">
        <f>IFERROR(HistoricalFS!F18,0)</f>
        <v>0.18661983775727828</v>
      </c>
      <c r="G12" s="22">
        <f>IFERROR(HistoricalFS!G18,0)</f>
        <v>0.1854363829172285</v>
      </c>
      <c r="H12" s="22">
        <f>IFERROR(HistoricalFS!H18,0)</f>
        <v>0.17703554087133319</v>
      </c>
      <c r="I12" s="22">
        <f>IFERROR(HistoricalFS!I18,0)</f>
        <v>0.17639308620502231</v>
      </c>
      <c r="J12" s="22">
        <f>IFERROR(HistoricalFS!J18,0)</f>
        <v>0.18239156171019061</v>
      </c>
      <c r="K12" s="22">
        <f>IFERROR(HistoricalFS!K18,0)</f>
        <v>0.1860141855335106</v>
      </c>
      <c r="L12" s="22">
        <f>IFERROR(HistoricalFS!L18,0)</f>
        <v>0.18754695475026215</v>
      </c>
      <c r="N12" s="22">
        <f t="shared" ref="N12:N15" si="2">IFERROR(AVERAGE(D12:L12),0)</f>
        <v>0.17944145230142045</v>
      </c>
      <c r="O12" s="22">
        <f t="shared" ref="O12:O15" si="3">IFERROR(MEDIAN(C12:L12),0)</f>
        <v>0.17971355129076189</v>
      </c>
    </row>
    <row r="13" spans="2:15" x14ac:dyDescent="0.35">
      <c r="B13" t="s">
        <v>128</v>
      </c>
      <c r="C13" s="22">
        <f>IFERROR((HistoricalFS!C17-HistoricalFS!C23)/HistoricalFS!C5,0)</f>
        <v>0.14641166751147053</v>
      </c>
      <c r="D13" s="22">
        <f>IFERROR((HistoricalFS!D17-HistoricalFS!D23)/HistoricalFS!D5,0)</f>
        <v>0.15147941287901937</v>
      </c>
      <c r="E13" s="22">
        <f>IFERROR((HistoricalFS!E17-HistoricalFS!E23)/HistoricalFS!E5,0)</f>
        <v>0.1614271411903796</v>
      </c>
      <c r="F13" s="22">
        <f>IFERROR((HistoricalFS!F17-HistoricalFS!F23)/HistoricalFS!F5,0)</f>
        <v>0.16042783772109367</v>
      </c>
      <c r="G13" s="22">
        <f>IFERROR((HistoricalFS!G17-HistoricalFS!G23)/HistoricalFS!G5,0)</f>
        <v>0.16056677888279636</v>
      </c>
      <c r="H13" s="22">
        <f>IFERROR((HistoricalFS!H17-HistoricalFS!H23)/HistoricalFS!H5,0)</f>
        <v>0.15272826683074947</v>
      </c>
      <c r="I13" s="22">
        <f>IFERROR((HistoricalFS!I17-HistoricalFS!I23)/HistoricalFS!I5,0)</f>
        <v>0.15282240823277896</v>
      </c>
      <c r="J13" s="22">
        <f>IFERROR((HistoricalFS!J17-HistoricalFS!J23)/HistoricalFS!J5,0)</f>
        <v>0.15147697183119807</v>
      </c>
      <c r="K13" s="22">
        <f>IFERROR((HistoricalFS!K17-HistoricalFS!K23)/HistoricalFS!K5,0)</f>
        <v>0.15253981204484335</v>
      </c>
      <c r="L13" s="22">
        <f>IFERROR((HistoricalFS!L17-HistoricalFS!L23)/HistoricalFS!L5,0)</f>
        <v>0.15257955937316001</v>
      </c>
      <c r="N13" s="22">
        <f t="shared" si="2"/>
        <v>0.15511646544289098</v>
      </c>
      <c r="O13" s="22">
        <f t="shared" si="3"/>
        <v>0.15265391310195475</v>
      </c>
    </row>
    <row r="14" spans="2:15" x14ac:dyDescent="0.35">
      <c r="B14" t="s">
        <v>129</v>
      </c>
      <c r="C14" s="22">
        <f>IFERROR(HistoricalFS!C27,0)</f>
        <v>0.14412740522286355</v>
      </c>
      <c r="D14" s="22">
        <f>IFERROR(HistoricalFS!D27,0)</f>
        <v>0.14949341872089758</v>
      </c>
      <c r="E14" s="22">
        <f>IFERROR(HistoricalFS!E27,0)</f>
        <v>0.15918033677489796</v>
      </c>
      <c r="F14" s="22">
        <f>IFERROR(HistoricalFS!F27,0)</f>
        <v>0.15124712502007123</v>
      </c>
      <c r="G14" s="22">
        <f>IFERROR(HistoricalFS!G27,0)</f>
        <v>0.15404363777744176</v>
      </c>
      <c r="H14" s="22">
        <f>IFERROR(HistoricalFS!H27,0)</f>
        <v>0.14650827993953902</v>
      </c>
      <c r="I14" s="22">
        <f>IFERROR(HistoricalFS!I27,0)</f>
        <v>0.14577381599449218</v>
      </c>
      <c r="J14" s="22">
        <f>IFERROR(HistoricalFS!J27,0)</f>
        <v>0.1393619168401298</v>
      </c>
      <c r="K14" s="22">
        <f>IFERROR(HistoricalFS!K27,0)</f>
        <v>0.14090944547396031</v>
      </c>
      <c r="L14" s="22">
        <f>IFERROR(HistoricalFS!L27,0)</f>
        <v>0.13972915020167323</v>
      </c>
      <c r="N14" s="22">
        <f t="shared" si="2"/>
        <v>0.14736079186034481</v>
      </c>
      <c r="O14" s="22">
        <f t="shared" si="3"/>
        <v>0.1461410479670156</v>
      </c>
    </row>
    <row r="15" spans="2:15" x14ac:dyDescent="0.35">
      <c r="B15" s="28" t="s">
        <v>126</v>
      </c>
      <c r="C15" s="29">
        <f>IFERROR(HistoricalFS!C33,0)</f>
        <v>9.3500055954551589E-2</v>
      </c>
      <c r="D15" s="29">
        <f>IFERROR(HistoricalFS!D33,0)</f>
        <v>0.10517825061413054</v>
      </c>
      <c r="E15" s="29">
        <f>IFERROR(HistoricalFS!E33,0)</f>
        <v>0.11598012153698505</v>
      </c>
      <c r="F15" s="29">
        <f>IFERROR(HistoricalFS!F33,0)</f>
        <v>0.11386955902274437</v>
      </c>
      <c r="G15" s="29">
        <f>IFERROR(HistoricalFS!G33,0)</f>
        <v>0.11148173633632334</v>
      </c>
      <c r="H15" s="29">
        <f>IFERROR(HistoricalFS!H33,0)</f>
        <v>0.10621045626613516</v>
      </c>
      <c r="I15" s="29">
        <f>IFERROR(HistoricalFS!I33,0)</f>
        <v>0.10699133963836653</v>
      </c>
      <c r="J15" s="29">
        <f>IFERROR(HistoricalFS!J33,0)</f>
        <v>0.10069043839223049</v>
      </c>
      <c r="K15" s="29">
        <f>IFERROR(HistoricalFS!K33,0)</f>
        <v>0.10169578474756487</v>
      </c>
      <c r="L15" s="29">
        <f>IFERROR(HistoricalFS!L33,0)</f>
        <v>9.9006590195627769E-2</v>
      </c>
      <c r="M15" s="28"/>
      <c r="N15" s="29">
        <f t="shared" si="2"/>
        <v>0.10678936408334534</v>
      </c>
      <c r="O15" s="29">
        <f t="shared" si="3"/>
        <v>0.10569435344013285</v>
      </c>
    </row>
    <row r="17" spans="2:15" x14ac:dyDescent="0.35">
      <c r="B17" s="25" t="s">
        <v>130</v>
      </c>
      <c r="C17" s="27">
        <f>IFERROR(HistoricalFS!C15,0)</f>
        <v>0.13943874293162353</v>
      </c>
      <c r="D17" s="27">
        <f>IFERROR(HistoricalFS!D15,0)</f>
        <v>0.13400266428754751</v>
      </c>
      <c r="E17" s="27">
        <f>IFERROR(HistoricalFS!E15,0)</f>
        <v>0.12557010883484371</v>
      </c>
      <c r="F17" s="27">
        <f>IFERROR(HistoricalFS!F15,0)</f>
        <v>7.3946632230984424E-2</v>
      </c>
      <c r="G17" s="27">
        <f>IFERROR(HistoricalFS!G15,0)</f>
        <v>6.8702808283216649E-2</v>
      </c>
      <c r="H17" s="27">
        <f>IFERROR(HistoricalFS!H15,0)</f>
        <v>5.3476002889284231E-2</v>
      </c>
      <c r="I17" s="27">
        <f>IFERROR(HistoricalFS!I15,0)</f>
        <v>5.3633365945573788E-2</v>
      </c>
      <c r="J17" s="27">
        <f>IFERROR(HistoricalFS!J15,0)</f>
        <v>5.590080822260312E-2</v>
      </c>
      <c r="K17" s="27">
        <f>IFERROR(HistoricalFS!K15,0)</f>
        <v>6.7104052778673776E-2</v>
      </c>
      <c r="L17" s="27">
        <f>IFERROR(HistoricalFS!L15,0)</f>
        <v>6.5161385798805385E-2</v>
      </c>
      <c r="M17" s="25"/>
      <c r="N17" s="27">
        <f t="shared" ref="N17:N19" si="4">IFERROR(AVERAGE(C17:L17),0)</f>
        <v>8.3693657220315604E-2</v>
      </c>
      <c r="O17" s="27">
        <f t="shared" ref="O17:O19" si="5">IFERROR(MEDIAN(C17:L17),0)</f>
        <v>6.7903430530945219E-2</v>
      </c>
    </row>
    <row r="18" spans="2:15" x14ac:dyDescent="0.35">
      <c r="B18" t="s">
        <v>131</v>
      </c>
      <c r="C18" s="22">
        <f>IFERROR(HistoricalFS!C24,0)</f>
        <v>1.3025890500233695E-2</v>
      </c>
      <c r="D18" s="22">
        <f>IFERROR(HistoricalFS!D24,0)</f>
        <v>1.0819085098321987E-2</v>
      </c>
      <c r="E18" s="22">
        <f>IFERROR(HistoricalFS!E24,0)</f>
        <v>9.8098818002374868E-3</v>
      </c>
      <c r="F18" s="22">
        <f>IFERROR(HistoricalFS!F24,0)</f>
        <v>2.61920000361846E-2</v>
      </c>
      <c r="G18" s="22">
        <f>IFERROR(HistoricalFS!G24,0)</f>
        <v>2.4869604034432148E-2</v>
      </c>
      <c r="H18" s="22">
        <f>IFERROR(HistoricalFS!H24,0)</f>
        <v>2.4307274040583741E-2</v>
      </c>
      <c r="I18" s="22">
        <f>IFERROR(HistoricalFS!I24,0)</f>
        <v>2.357067797224336E-2</v>
      </c>
      <c r="J18" s="22">
        <f>IFERROR(HistoricalFS!J24,0)</f>
        <v>3.0914589878992538E-2</v>
      </c>
      <c r="K18" s="22">
        <f>IFERROR(HistoricalFS!K24,0)</f>
        <v>3.347437348866724E-2</v>
      </c>
      <c r="L18" s="22">
        <f>IFERROR(HistoricalFS!L24,0)</f>
        <v>3.496739537710214E-2</v>
      </c>
      <c r="N18" s="22">
        <f t="shared" si="4"/>
        <v>2.3195077222699895E-2</v>
      </c>
      <c r="O18" s="22">
        <f t="shared" si="5"/>
        <v>2.4588439037507945E-2</v>
      </c>
    </row>
    <row r="19" spans="2:15" x14ac:dyDescent="0.35">
      <c r="B19" s="28" t="s">
        <v>132</v>
      </c>
      <c r="C19" s="29">
        <f>IFERROR(C13,0)</f>
        <v>0.14641166751147053</v>
      </c>
      <c r="D19" s="29">
        <f t="shared" ref="D19:L19" si="6">IFERROR(D13,0)</f>
        <v>0.15147941287901937</v>
      </c>
      <c r="E19" s="29">
        <f t="shared" si="6"/>
        <v>0.1614271411903796</v>
      </c>
      <c r="F19" s="29">
        <f t="shared" si="6"/>
        <v>0.16042783772109367</v>
      </c>
      <c r="G19" s="29">
        <f t="shared" si="6"/>
        <v>0.16056677888279636</v>
      </c>
      <c r="H19" s="29">
        <f t="shared" si="6"/>
        <v>0.15272826683074947</v>
      </c>
      <c r="I19" s="29">
        <f t="shared" si="6"/>
        <v>0.15282240823277896</v>
      </c>
      <c r="J19" s="29">
        <f t="shared" si="6"/>
        <v>0.15147697183119807</v>
      </c>
      <c r="K19" s="29">
        <f t="shared" si="6"/>
        <v>0.15253981204484335</v>
      </c>
      <c r="L19" s="29">
        <f t="shared" si="6"/>
        <v>0.15257955937316001</v>
      </c>
      <c r="M19" s="28"/>
      <c r="N19" s="29">
        <f t="shared" si="4"/>
        <v>0.15424598564974895</v>
      </c>
      <c r="O19" s="29">
        <f t="shared" si="5"/>
        <v>0.15265391310195475</v>
      </c>
    </row>
    <row r="21" spans="2:15" x14ac:dyDescent="0.35">
      <c r="B21" s="25" t="s">
        <v>133</v>
      </c>
      <c r="C21" s="27">
        <f>IFERROR((HistoricalFS!C17-HistoricalFS!C23)/SUM(HistoricalFS!C47:C49),0)</f>
        <v>0.13873554399490987</v>
      </c>
      <c r="D21" s="27">
        <f>IFERROR((HistoricalFS!D17-HistoricalFS!D23)/SUM(HistoricalFS!D47:D49),0)</f>
        <v>0.16887188823622581</v>
      </c>
      <c r="E21" s="27">
        <f>IFERROR((HistoricalFS!E17-HistoricalFS!E23)/SUM(HistoricalFS!E47:E49),0)</f>
        <v>0.21545263543153897</v>
      </c>
      <c r="F21" s="27">
        <f>IFERROR((HistoricalFS!F17-HistoricalFS!F23)/SUM(HistoricalFS!F47:F49),0)</f>
        <v>0.22164921073352428</v>
      </c>
      <c r="G21" s="27">
        <f>IFERROR((HistoricalFS!G17-HistoricalFS!G23)/SUM(HistoricalFS!G47:G49),0)</f>
        <v>0.22173927865275786</v>
      </c>
      <c r="H21" s="27">
        <f>IFERROR((HistoricalFS!H17-HistoricalFS!H23)/SUM(HistoricalFS!H47:H49),0)</f>
        <v>0.24454579285123379</v>
      </c>
      <c r="I21" s="27">
        <f>IFERROR((HistoricalFS!I17-HistoricalFS!I23)/SUM(HistoricalFS!I47:I49),0)</f>
        <v>0.2592692774906189</v>
      </c>
      <c r="J21" s="27">
        <f>IFERROR((HistoricalFS!J17-HistoricalFS!J23)/SUM(HistoricalFS!J47:J49),0)</f>
        <v>0.19455939053102192</v>
      </c>
      <c r="K21" s="27">
        <f>IFERROR((HistoricalFS!K17-HistoricalFS!K23)/SUM(HistoricalFS!K47:K49),0)</f>
        <v>0.18847907500557895</v>
      </c>
      <c r="L21" s="27">
        <f>IFERROR((HistoricalFS!L17-HistoricalFS!L23)/SUM(HistoricalFS!L47:L49),0)</f>
        <v>0.18130939730906809</v>
      </c>
      <c r="M21" s="25"/>
      <c r="N21" s="27">
        <f t="shared" ref="N21:N25" si="7">IFERROR(AVERAGE(C21:L21),0)</f>
        <v>0.20346114902364784</v>
      </c>
      <c r="O21" s="27">
        <f t="shared" ref="O21:O25" si="8">IFERROR(MEDIAN(C21:L21),0)</f>
        <v>0.20500601298128046</v>
      </c>
    </row>
    <row r="22" spans="2:15" x14ac:dyDescent="0.35">
      <c r="B22" t="s">
        <v>134</v>
      </c>
      <c r="C22" s="22">
        <f>IFERROR(HistoricalFS!C43,0)</f>
        <v>0</v>
      </c>
      <c r="D22" s="22">
        <f>IFERROR(HistoricalFS!D43,0)</f>
        <v>0.31901533053712483</v>
      </c>
      <c r="E22" s="22">
        <f>IFERROR(HistoricalFS!E43,0)</f>
        <v>0.35200705525308584</v>
      </c>
      <c r="F22" s="22">
        <f>IFERROR(HistoricalFS!F43,0)</f>
        <v>0.12128629636433619</v>
      </c>
      <c r="G22" s="22">
        <f>IFERROR(HistoricalFS!G43,0)</f>
        <v>1</v>
      </c>
      <c r="H22" s="22">
        <f>IFERROR(HistoricalFS!H43,0)</f>
        <v>0.16714165816109405</v>
      </c>
      <c r="I22" s="22">
        <f>IFERROR(HistoricalFS!I43,0)</f>
        <v>0.15836240009213087</v>
      </c>
      <c r="J22" s="22">
        <f>IFERROR(HistoricalFS!J43,0)</f>
        <v>-9.7231296694827662E-2</v>
      </c>
      <c r="K22" s="22">
        <f>IFERROR(HistoricalFS!K43,0)</f>
        <v>7.609182073953713E-2</v>
      </c>
      <c r="L22" s="22">
        <f>IFERROR(HistoricalFS!L43,0)</f>
        <v>8.2433511389803593E-2</v>
      </c>
      <c r="N22" s="22">
        <f t="shared" si="7"/>
        <v>0.21791067758422847</v>
      </c>
      <c r="O22" s="22">
        <f t="shared" si="8"/>
        <v>0.13982434822823353</v>
      </c>
    </row>
    <row r="23" spans="2:15" x14ac:dyDescent="0.35">
      <c r="B23" t="s">
        <v>135</v>
      </c>
      <c r="C23" s="22">
        <f>IFERROR(HistoricalFS!C32/SUM(HistoricalFS!C47:C48),0)</f>
        <v>9.2344450945972156E-2</v>
      </c>
      <c r="D23" s="22">
        <f>IFERROR(HistoricalFS!D32/SUM(HistoricalFS!D47:D48),0)</f>
        <v>0.12559401217485533</v>
      </c>
      <c r="E23" s="22">
        <f>IFERROR(HistoricalFS!E32/SUM(HistoricalFS!E47:E48),0)</f>
        <v>0.1707944272375054</v>
      </c>
      <c r="F23" s="22">
        <f>IFERROR(HistoricalFS!F32/SUM(HistoricalFS!F47:F48),0)</f>
        <v>0.17274083985179101</v>
      </c>
      <c r="G23" s="22">
        <f>IFERROR(HistoricalFS!G32/SUM(HistoricalFS!G47:G48),0)</f>
        <v>0.16606529170133186</v>
      </c>
      <c r="H23" s="22">
        <f>IFERROR(HistoricalFS!H32/SUM(HistoricalFS!H47:H48),0)</f>
        <v>0.18297629026636361</v>
      </c>
      <c r="I23" s="22">
        <f>IFERROR(HistoricalFS!I32/SUM(HistoricalFS!I47:I48),0)</f>
        <v>0.18605542140736306</v>
      </c>
      <c r="J23" s="22">
        <f>IFERROR(HistoricalFS!J32/SUM(HistoricalFS!J47:J48),0)</f>
        <v>0.15202720757372987</v>
      </c>
      <c r="K23" s="22">
        <f>IFERROR(HistoricalFS!K32/SUM(HistoricalFS!K47:K48),0)</f>
        <v>0.15029823262248421</v>
      </c>
      <c r="L23" s="22">
        <f>IFERROR(HistoricalFS!L32/SUM(HistoricalFS!L47:L48),0)</f>
        <v>0.14633571984377855</v>
      </c>
      <c r="N23" s="22">
        <f t="shared" si="7"/>
        <v>0.15452318936251749</v>
      </c>
      <c r="O23" s="22">
        <f t="shared" si="8"/>
        <v>0.15904624963753086</v>
      </c>
    </row>
    <row r="24" spans="2:15" x14ac:dyDescent="0.35">
      <c r="B24" t="s">
        <v>136</v>
      </c>
      <c r="C24" s="22">
        <f>IFERROR(C22*C23,0)</f>
        <v>0</v>
      </c>
      <c r="D24" s="22">
        <f t="shared" ref="D24:L24" si="9">IFERROR(D22*D23,0)</f>
        <v>4.0066415307445154E-2</v>
      </c>
      <c r="E24" s="22">
        <f t="shared" si="9"/>
        <v>6.0120843385511713E-2</v>
      </c>
      <c r="F24" s="22">
        <f t="shared" si="9"/>
        <v>2.0951096696488661E-2</v>
      </c>
      <c r="G24" s="22">
        <f t="shared" si="9"/>
        <v>0.16606529170133186</v>
      </c>
      <c r="H24" s="22">
        <f t="shared" si="9"/>
        <v>3.0582960559285669E-2</v>
      </c>
      <c r="I24" s="22">
        <f t="shared" si="9"/>
        <v>2.9464183084222838E-2</v>
      </c>
      <c r="J24" s="22">
        <f t="shared" si="9"/>
        <v>-1.478180252528748E-2</v>
      </c>
      <c r="K24" s="22">
        <f t="shared" si="9"/>
        <v>1.143646617417932E-2</v>
      </c>
      <c r="L24" s="22">
        <f t="shared" si="9"/>
        <v>1.2062967228477228E-2</v>
      </c>
      <c r="N24" s="22">
        <f t="shared" si="7"/>
        <v>3.5596842161165494E-2</v>
      </c>
      <c r="O24" s="22">
        <f t="shared" si="8"/>
        <v>2.5207639890355751E-2</v>
      </c>
    </row>
    <row r="25" spans="2:15" x14ac:dyDescent="0.35">
      <c r="B25" s="28" t="s">
        <v>137</v>
      </c>
      <c r="C25" s="30">
        <f>IFERROR((HistoricalFS!C17-HistoricalFS!C23)/HistoricalFS!C20,0)</f>
        <v>64.095821325648345</v>
      </c>
      <c r="D25" s="30">
        <f>IFERROR((HistoricalFS!D17-HistoricalFS!D23)/HistoricalFS!D20,0)</f>
        <v>76.273846153846165</v>
      </c>
      <c r="E25" s="30">
        <f>IFERROR((HistoricalFS!E17-HistoricalFS!E23)/HistoricalFS!E20,0)</f>
        <v>71.847438111686856</v>
      </c>
      <c r="F25" s="30">
        <f>IFERROR((HistoricalFS!F17-HistoricalFS!F23)/HistoricalFS!F20,0)</f>
        <v>17.474442665352889</v>
      </c>
      <c r="G25" s="30">
        <f>IFERROR((HistoricalFS!G17-HistoricalFS!G23)/HistoricalFS!G20,0)</f>
        <v>24.614947965941337</v>
      </c>
      <c r="H25" s="30">
        <f>IFERROR((HistoricalFS!H17-HistoricalFS!H23)/HistoricalFS!H20,0)</f>
        <v>24.554435483870964</v>
      </c>
      <c r="I25" s="30">
        <f>IFERROR((HistoricalFS!I17-HistoricalFS!I23)/HistoricalFS!I20,0)</f>
        <v>21.681266707793544</v>
      </c>
      <c r="J25" s="30">
        <f>IFERROR((HistoricalFS!J17-HistoricalFS!J23)/HistoricalFS!J20,0)</f>
        <v>12.503201342699075</v>
      </c>
      <c r="K25" s="30">
        <f>IFERROR((HistoricalFS!K17-HistoricalFS!K23)/HistoricalFS!K20,0)</f>
        <v>13.115649546827797</v>
      </c>
      <c r="L25" s="30">
        <f>IFERROR((HistoricalFS!L17-HistoricalFS!L23)/HistoricalFS!L20,0)</f>
        <v>11.873517592864845</v>
      </c>
      <c r="M25" s="28"/>
      <c r="N25" s="30">
        <f t="shared" si="7"/>
        <v>33.803456689653181</v>
      </c>
      <c r="O25" s="30">
        <f t="shared" si="8"/>
        <v>23.117851095832254</v>
      </c>
    </row>
    <row r="27" spans="2:15" x14ac:dyDescent="0.35">
      <c r="B27" s="25" t="s">
        <v>138</v>
      </c>
      <c r="C27" s="31">
        <f>IFERROR(HistoricalFS!C5/HistoricalFS!C59,0)</f>
        <v>9.6777358370363284</v>
      </c>
      <c r="D27" s="31">
        <f>IFERROR(HistoricalFS!D5/HistoricalFS!D59,0)</f>
        <v>8.0650542734990083</v>
      </c>
      <c r="E27" s="31">
        <f>IFERROR(HistoricalFS!E5/HistoricalFS!E59,0)</f>
        <v>8.0921318442069552</v>
      </c>
      <c r="F27" s="31">
        <f>IFERROR(HistoricalFS!F5/HistoricalFS!F59,0)</f>
        <v>10.587895839568992</v>
      </c>
      <c r="G27" s="31">
        <f>IFERROR(HistoricalFS!G5/HistoricalFS!G59,0)</f>
        <v>10.459945345784739</v>
      </c>
      <c r="H27" s="31">
        <f>IFERROR(HistoricalFS!H5/HistoricalFS!H59,0)</f>
        <v>5.3712448471894172</v>
      </c>
      <c r="I27" s="31">
        <f>IFERROR(HistoricalFS!I5/HistoricalFS!I59,0)</f>
        <v>5.4742266814248817</v>
      </c>
      <c r="J27" s="31">
        <f>IFERROR(HistoricalFS!J5/HistoricalFS!J59,0)</f>
        <v>5.4744141559062651</v>
      </c>
      <c r="K27" s="31">
        <f>IFERROR(HistoricalFS!K5/HistoricalFS!K59,0)</f>
        <v>5.0092722645235552</v>
      </c>
      <c r="L27" s="31">
        <f>IFERROR(HistoricalFS!L5/HistoricalFS!L59,0)</f>
        <v>3.7874339331030926</v>
      </c>
      <c r="M27" s="25"/>
      <c r="N27" s="31">
        <f t="shared" ref="N27:N31" si="10">IFERROR(AVERAGE(C27:L27),0)</f>
        <v>7.1999355022243234</v>
      </c>
      <c r="O27" s="31">
        <f t="shared" ref="O27:O31" si="11">IFERROR(MEDIAN(C27:L27),0)</f>
        <v>6.7697342147026367</v>
      </c>
    </row>
    <row r="28" spans="2:15" x14ac:dyDescent="0.35">
      <c r="B28" t="s">
        <v>139</v>
      </c>
      <c r="C28" s="23">
        <f>IFERROR(HistoricalFS!C5/HistoricalFS!C50,0)</f>
        <v>6.837434876053516</v>
      </c>
      <c r="D28" s="23">
        <f>IFERROR(HistoricalFS!D5/HistoricalFS!D50,0)</f>
        <v>5.9040678271849911</v>
      </c>
      <c r="E28" s="23">
        <f>IFERROR(HistoricalFS!E5/HistoricalFS!E50,0)</f>
        <v>4.9058799639561892</v>
      </c>
      <c r="F28" s="23">
        <f>IFERROR(HistoricalFS!F5/HistoricalFS!F50,0)</f>
        <v>3.7810841895086993</v>
      </c>
      <c r="G28" s="23">
        <f>IFERROR(HistoricalFS!G5/HistoricalFS!G50,0)</f>
        <v>4.1825381802538182</v>
      </c>
      <c r="H28" s="23">
        <f>IFERROR(HistoricalFS!H5/HistoricalFS!H50,0)</f>
        <v>3.7217371823991736</v>
      </c>
      <c r="I28" s="23">
        <f>IFERROR(HistoricalFS!I5/HistoricalFS!I50,0)</f>
        <v>4.0906503655304496</v>
      </c>
      <c r="J28" s="23">
        <f>IFERROR(HistoricalFS!J5/HistoricalFS!J50,0)</f>
        <v>3.6258809715604223</v>
      </c>
      <c r="K28" s="23">
        <f>IFERROR(HistoricalFS!K5/HistoricalFS!K50,0)</f>
        <v>4.408681670033336</v>
      </c>
      <c r="L28" s="23">
        <f>IFERROR(HistoricalFS!L5/HistoricalFS!L50,0)</f>
        <v>3.7402781245436429</v>
      </c>
      <c r="N28" s="23">
        <f t="shared" si="10"/>
        <v>4.5198233351024237</v>
      </c>
      <c r="O28" s="23">
        <f t="shared" si="11"/>
        <v>4.1365942728921343</v>
      </c>
    </row>
    <row r="29" spans="2:15" x14ac:dyDescent="0.35">
      <c r="B29" t="s">
        <v>140</v>
      </c>
      <c r="C29" s="23">
        <f>IFERROR(HistoricalFS!C5/HistoricalFS!C60,0)</f>
        <v>0</v>
      </c>
      <c r="D29" s="23">
        <f>IFERROR(HistoricalFS!D5/HistoricalFS!D60,0)</f>
        <v>0</v>
      </c>
      <c r="E29" s="23">
        <f>IFERROR(HistoricalFS!E5/HistoricalFS!E60,0)</f>
        <v>0</v>
      </c>
      <c r="F29" s="23">
        <f>IFERROR(HistoricalFS!F5/HistoricalFS!F60,0)</f>
        <v>0</v>
      </c>
      <c r="G29" s="23">
        <f>IFERROR(HistoricalFS!G5/HistoricalFS!G60,0)</f>
        <v>0</v>
      </c>
      <c r="H29" s="23">
        <f>IFERROR(HistoricalFS!H5/HistoricalFS!H60,0)</f>
        <v>0</v>
      </c>
      <c r="I29" s="23">
        <f>IFERROR(HistoricalFS!I5/HistoricalFS!I60,0)</f>
        <v>0</v>
      </c>
      <c r="J29" s="23">
        <f>IFERROR(HistoricalFS!J5/HistoricalFS!J60,0)</f>
        <v>0</v>
      </c>
      <c r="K29" s="23">
        <f>IFERROR(HistoricalFS!K5/HistoricalFS!K60,0)</f>
        <v>0</v>
      </c>
      <c r="L29" s="23">
        <f>IFERROR(HistoricalFS!L5/HistoricalFS!L60,0)</f>
        <v>0</v>
      </c>
      <c r="N29" s="23">
        <f t="shared" si="10"/>
        <v>0</v>
      </c>
      <c r="O29" s="23">
        <f t="shared" si="11"/>
        <v>0</v>
      </c>
    </row>
    <row r="30" spans="2:15" x14ac:dyDescent="0.35">
      <c r="B30" t="s">
        <v>141</v>
      </c>
      <c r="C30" s="23">
        <f>IFERROR(HistoricalFS!C5/HistoricalFS!C53,0)</f>
        <v>3.1628928656943271</v>
      </c>
      <c r="D30" s="23">
        <f>IFERROR(HistoricalFS!D5/HistoricalFS!D53,0)</f>
        <v>3.4743820427487888</v>
      </c>
      <c r="E30" s="23">
        <f>IFERROR(HistoricalFS!E5/HistoricalFS!E53,0)</f>
        <v>3.5631069303553895</v>
      </c>
      <c r="F30" s="23">
        <f>IFERROR(HistoricalFS!F5/HistoricalFS!F53,0)</f>
        <v>2.9346505214883742</v>
      </c>
      <c r="G30" s="23">
        <f>IFERROR(HistoricalFS!G5/HistoricalFS!G53,0)</f>
        <v>3.2198303698282169</v>
      </c>
      <c r="H30" s="23">
        <f>IFERROR(HistoricalFS!H5/HistoricalFS!H53,0)</f>
        <v>3.1697437215625275</v>
      </c>
      <c r="I30" s="23">
        <f>IFERROR(HistoricalFS!I5/HistoricalFS!I53,0)</f>
        <v>3.3988127493965217</v>
      </c>
      <c r="J30" s="23">
        <f>IFERROR(HistoricalFS!J5/HistoricalFS!J53,0)</f>
        <v>2.4000375951401054</v>
      </c>
      <c r="K30" s="23">
        <f>IFERROR(HistoricalFS!K5/HistoricalFS!K53,0)</f>
        <v>2.4613057556196685</v>
      </c>
      <c r="L30" s="23">
        <f>IFERROR(HistoricalFS!L5/HistoricalFS!L53,0)</f>
        <v>2.4675236890603003</v>
      </c>
      <c r="N30" s="23">
        <f t="shared" si="10"/>
        <v>3.0252286240894226</v>
      </c>
      <c r="O30" s="23">
        <f t="shared" si="11"/>
        <v>3.1663182936284273</v>
      </c>
    </row>
    <row r="31" spans="2:15" x14ac:dyDescent="0.35">
      <c r="B31" s="28" t="s">
        <v>142</v>
      </c>
      <c r="C31" s="30">
        <f>IFERROR(HistoricalFS!C5/SUM(HistoricalFS!C47:C48),0)</f>
        <v>0.98764059553995187</v>
      </c>
      <c r="D31" s="30">
        <f>IFERROR(HistoricalFS!D5/SUM(HistoricalFS!D47:D48),0)</f>
        <v>1.1941063046924452</v>
      </c>
      <c r="E31" s="30">
        <f>IFERROR(HistoricalFS!E5/SUM(HistoricalFS!E47:E48),0)</f>
        <v>1.4726181088113497</v>
      </c>
      <c r="F31" s="30">
        <f>IFERROR(HistoricalFS!F5/SUM(HistoricalFS!F47:F48),0)</f>
        <v>1.5170063126115001</v>
      </c>
      <c r="G31" s="30">
        <f>IFERROR(HistoricalFS!G5/SUM(HistoricalFS!G47:G48),0)</f>
        <v>1.4896188125410812</v>
      </c>
      <c r="H31" s="30">
        <f>IFERROR(HistoricalFS!H5/SUM(HistoricalFS!H47:H48),0)</f>
        <v>1.7227709652981216</v>
      </c>
      <c r="I31" s="30">
        <f>IFERROR(HistoricalFS!I5/SUM(HistoricalFS!I47:I48),0)</f>
        <v>1.7389764632935258</v>
      </c>
      <c r="J31" s="30">
        <f>IFERROR(HistoricalFS!J5/SUM(HistoricalFS!J47:J48),0)</f>
        <v>1.5098475088719112</v>
      </c>
      <c r="K31" s="30">
        <f>IFERROR(HistoricalFS!K5/SUM(HistoricalFS!K47:K48),0)</f>
        <v>1.4779199845457029</v>
      </c>
      <c r="L31" s="30">
        <f>IFERROR(HistoricalFS!L5/SUM(HistoricalFS!L47:L48),0)</f>
        <v>1.478040194643941</v>
      </c>
      <c r="M31" s="28"/>
      <c r="N31" s="30">
        <f t="shared" si="10"/>
        <v>1.4588545250849532</v>
      </c>
      <c r="O31" s="30">
        <f t="shared" si="11"/>
        <v>1.4838295035925111</v>
      </c>
    </row>
    <row r="33" spans="2:17" x14ac:dyDescent="0.35">
      <c r="B33" s="25" t="s">
        <v>143</v>
      </c>
      <c r="C33" s="32">
        <f t="shared" ref="C33:L33" si="12">IFERROR(365/C27,0)</f>
        <v>37.715433252802669</v>
      </c>
      <c r="D33" s="32">
        <f t="shared" si="12"/>
        <v>45.256980005621891</v>
      </c>
      <c r="E33" s="32">
        <f t="shared" si="12"/>
        <v>45.105542893656441</v>
      </c>
      <c r="F33" s="32">
        <f t="shared" si="12"/>
        <v>34.47332742318121</v>
      </c>
      <c r="G33" s="32">
        <f t="shared" si="12"/>
        <v>34.895019804964051</v>
      </c>
      <c r="H33" s="32">
        <f t="shared" si="12"/>
        <v>67.954451972337779</v>
      </c>
      <c r="I33" s="32">
        <f t="shared" si="12"/>
        <v>66.676084356995332</v>
      </c>
      <c r="J33" s="32">
        <f t="shared" si="12"/>
        <v>66.673800995894112</v>
      </c>
      <c r="K33" s="32">
        <f t="shared" si="12"/>
        <v>72.864875519940639</v>
      </c>
      <c r="L33" s="32">
        <f t="shared" si="12"/>
        <v>96.37131800763872</v>
      </c>
      <c r="M33" s="25"/>
      <c r="N33" s="32">
        <f t="shared" ref="N33:N36" si="13">IFERROR(AVERAGE(C33:L33),0)</f>
        <v>56.798683423303281</v>
      </c>
      <c r="O33" s="32">
        <f t="shared" ref="O33:O36" si="14">IFERROR(MEDIAN(C33:L33),0)</f>
        <v>55.965390500758005</v>
      </c>
      <c r="Q33" t="s">
        <v>147</v>
      </c>
    </row>
    <row r="34" spans="2:17" x14ac:dyDescent="0.35">
      <c r="B34" t="s">
        <v>144</v>
      </c>
      <c r="C34" s="24">
        <f t="shared" ref="C34:L34" si="15">IFERROR(365/C28,0)</f>
        <v>53.382592538954249</v>
      </c>
      <c r="D34" s="24">
        <f t="shared" si="15"/>
        <v>61.821782995001406</v>
      </c>
      <c r="E34" s="24">
        <f t="shared" si="15"/>
        <v>74.400515846632629</v>
      </c>
      <c r="F34" s="24">
        <f t="shared" si="15"/>
        <v>96.533158667230524</v>
      </c>
      <c r="G34" s="24">
        <f t="shared" si="15"/>
        <v>87.267583526960152</v>
      </c>
      <c r="H34" s="24">
        <f t="shared" si="15"/>
        <v>98.07248123971695</v>
      </c>
      <c r="I34" s="24">
        <f t="shared" si="15"/>
        <v>89.227865347682709</v>
      </c>
      <c r="J34" s="24">
        <f t="shared" si="15"/>
        <v>100.66519084958263</v>
      </c>
      <c r="K34" s="24">
        <f t="shared" si="15"/>
        <v>82.791189593246386</v>
      </c>
      <c r="L34" s="24">
        <f t="shared" si="15"/>
        <v>97.586325895092145</v>
      </c>
      <c r="N34" s="24">
        <f t="shared" si="13"/>
        <v>84.174868650009984</v>
      </c>
      <c r="O34" s="24">
        <f t="shared" si="14"/>
        <v>88.247724437321438</v>
      </c>
      <c r="Q34" t="s">
        <v>148</v>
      </c>
    </row>
    <row r="35" spans="2:17" x14ac:dyDescent="0.35">
      <c r="B35" t="s">
        <v>145</v>
      </c>
      <c r="C35" s="24">
        <f t="shared" ref="C35:L35" si="16">IFERROR(365/C29,0)</f>
        <v>0</v>
      </c>
      <c r="D35" s="24">
        <f t="shared" si="16"/>
        <v>0</v>
      </c>
      <c r="E35" s="24">
        <f t="shared" si="16"/>
        <v>0</v>
      </c>
      <c r="F35" s="24">
        <f t="shared" si="16"/>
        <v>0</v>
      </c>
      <c r="G35" s="24">
        <f t="shared" si="16"/>
        <v>0</v>
      </c>
      <c r="H35" s="24">
        <f t="shared" si="16"/>
        <v>0</v>
      </c>
      <c r="I35" s="24">
        <f t="shared" si="16"/>
        <v>0</v>
      </c>
      <c r="J35" s="24">
        <f t="shared" si="16"/>
        <v>0</v>
      </c>
      <c r="K35" s="24">
        <f t="shared" si="16"/>
        <v>0</v>
      </c>
      <c r="L35" s="24">
        <f t="shared" si="16"/>
        <v>0</v>
      </c>
      <c r="N35" s="24">
        <f t="shared" si="13"/>
        <v>0</v>
      </c>
      <c r="O35" s="24">
        <f t="shared" si="14"/>
        <v>0</v>
      </c>
      <c r="Q35" t="s">
        <v>149</v>
      </c>
    </row>
    <row r="36" spans="2:17" x14ac:dyDescent="0.35">
      <c r="B36" s="28" t="s">
        <v>146</v>
      </c>
      <c r="C36" s="33">
        <f>IFERROR(SUM(C33,C35)-C34,0)</f>
        <v>-15.66715928615158</v>
      </c>
      <c r="D36" s="33">
        <f t="shared" ref="D36:L36" si="17">IFERROR(SUM(D33,D35)-D34,0)</f>
        <v>-16.564802989379515</v>
      </c>
      <c r="E36" s="33">
        <f t="shared" si="17"/>
        <v>-29.294972952976188</v>
      </c>
      <c r="F36" s="33">
        <f t="shared" si="17"/>
        <v>-62.059831244049313</v>
      </c>
      <c r="G36" s="33">
        <f t="shared" si="17"/>
        <v>-52.372563721996102</v>
      </c>
      <c r="H36" s="33">
        <f t="shared" si="17"/>
        <v>-30.118029267379171</v>
      </c>
      <c r="I36" s="33">
        <f t="shared" si="17"/>
        <v>-22.551780990687377</v>
      </c>
      <c r="J36" s="33">
        <f t="shared" si="17"/>
        <v>-33.991389853688517</v>
      </c>
      <c r="K36" s="33">
        <f t="shared" si="17"/>
        <v>-9.9263140733057469</v>
      </c>
      <c r="L36" s="33">
        <f t="shared" si="17"/>
        <v>-1.2150078874534245</v>
      </c>
      <c r="M36" s="28"/>
      <c r="N36" s="33">
        <f t="shared" si="13"/>
        <v>-27.376185226706696</v>
      </c>
      <c r="O36" s="33">
        <f t="shared" si="14"/>
        <v>-25.923376971831782</v>
      </c>
      <c r="Q36" t="s">
        <v>150</v>
      </c>
    </row>
    <row r="38" spans="2:17" x14ac:dyDescent="0.35">
      <c r="B38" s="25" t="s">
        <v>151</v>
      </c>
      <c r="C38" s="27">
        <f>IFERROR(HistoricalFS!C78/HistoricalFS!C5,0)</f>
        <v>6.2371222244896618</v>
      </c>
      <c r="D38" s="27">
        <f>IFERROR(HistoricalFS!D78/HistoricalFS!D5,0)</f>
        <v>4.6136171980983338</v>
      </c>
      <c r="E38" s="27">
        <f>IFERROR(HistoricalFS!E78/HistoricalFS!E5,0)</f>
        <v>3.0858959666174277</v>
      </c>
      <c r="F38" s="27">
        <f>IFERROR(HistoricalFS!F78/HistoricalFS!F5,0)</f>
        <v>2.1362486063273303</v>
      </c>
      <c r="G38" s="27">
        <f>IFERROR(HistoricalFS!G78/HistoricalFS!G5,0)</f>
        <v>2.7393695531206061</v>
      </c>
      <c r="H38" s="27">
        <f>IFERROR(HistoricalFS!H78/HistoricalFS!H5,0)</f>
        <v>2.4244572559825572</v>
      </c>
      <c r="I38" s="27">
        <f>IFERROR(HistoricalFS!I78/HistoricalFS!I5,0)</f>
        <v>1.0350400405841214</v>
      </c>
      <c r="J38" s="27">
        <f>IFERROR(HistoricalFS!J78/HistoricalFS!J5,0)</f>
        <v>2.6650560454026504</v>
      </c>
      <c r="K38" s="27">
        <f>IFERROR(HistoricalFS!K78/HistoricalFS!K5,0)</f>
        <v>4.7726667411572317</v>
      </c>
      <c r="L38" s="27">
        <f>IFERROR(HistoricalFS!L78/HistoricalFS!L5,0)</f>
        <v>3.9737651648493513</v>
      </c>
      <c r="M38" s="25"/>
      <c r="N38" s="27">
        <f t="shared" ref="N38:N40" si="18">IFERROR(AVERAGE(C38:L38),0)</f>
        <v>3.3683238796629276</v>
      </c>
      <c r="O38" s="27">
        <f t="shared" ref="O38:O40" si="19">IFERROR(MEDIAN(C38:L38),0)</f>
        <v>2.9126327598690169</v>
      </c>
    </row>
    <row r="39" spans="2:17" x14ac:dyDescent="0.35">
      <c r="B39" t="s">
        <v>152</v>
      </c>
      <c r="C39" s="22">
        <f>IFERROR(HistoricalFS!C78/HistoricalFS!C64,0)</f>
        <v>5.1907550077041602</v>
      </c>
      <c r="D39" s="22">
        <f>IFERROR(HistoricalFS!D78/HistoricalFS!D64,0)</f>
        <v>4.3264182271140346</v>
      </c>
      <c r="E39" s="22">
        <f>IFERROR(HistoricalFS!E78/HistoricalFS!E64,0)</f>
        <v>3.2378020892285431</v>
      </c>
      <c r="F39" s="22">
        <f>IFERROR(HistoricalFS!F78/HistoricalFS!F64,0)</f>
        <v>2.1616129486245059</v>
      </c>
      <c r="G39" s="22">
        <f>IFERROR(HistoricalFS!G78/HistoricalFS!G64,0)</f>
        <v>2.843990064775443</v>
      </c>
      <c r="H39" s="22">
        <f>IFERROR(HistoricalFS!H78/HistoricalFS!H64,0)</f>
        <v>2.7142579031702532</v>
      </c>
      <c r="I39" s="22">
        <f>IFERROR(HistoricalFS!I78/HistoricalFS!I64,0)</f>
        <v>1.2412114891583019</v>
      </c>
      <c r="J39" s="22">
        <f>IFERROR(HistoricalFS!J78/HistoricalFS!J64,0)</f>
        <v>2.5276547052819471</v>
      </c>
      <c r="K39" s="22">
        <f>IFERROR(HistoricalFS!K78/HistoricalFS!K64,0)</f>
        <v>4.6061774254916976</v>
      </c>
      <c r="L39" s="22">
        <f>IFERROR(HistoricalFS!L78/HistoricalFS!L64,0)</f>
        <v>3.5835125032795769</v>
      </c>
      <c r="N39" s="22">
        <f t="shared" si="18"/>
        <v>3.2433392363828468</v>
      </c>
      <c r="O39" s="22">
        <f t="shared" si="19"/>
        <v>3.0408960770019933</v>
      </c>
    </row>
    <row r="40" spans="2:17" x14ac:dyDescent="0.35">
      <c r="B40" s="28" t="s">
        <v>153</v>
      </c>
      <c r="C40" s="29">
        <f>IFERROR(HistoricalFS!C78/HistoricalFS!C49,0)</f>
        <v>145.67573800738006</v>
      </c>
      <c r="D40" s="29">
        <f>IFERROR(HistoricalFS!D78/HistoricalFS!D49,0)</f>
        <v>77.459731199343395</v>
      </c>
      <c r="E40" s="29">
        <f>IFERROR(HistoricalFS!E78/HistoricalFS!E49,0)</f>
        <v>43.968742512762859</v>
      </c>
      <c r="F40" s="29">
        <f>IFERROR(HistoricalFS!F78/HistoricalFS!F49,0)</f>
        <v>33.06959809550483</v>
      </c>
      <c r="G40" s="29">
        <f>IFERROR(HistoricalFS!G78/HistoricalFS!G49,0)</f>
        <v>51.87067874184438</v>
      </c>
      <c r="H40" s="29">
        <f>IFERROR(HistoricalFS!H78/HistoricalFS!H49,0)</f>
        <v>55.003414005007208</v>
      </c>
      <c r="I40" s="29">
        <f>IFERROR(HistoricalFS!I78/HistoricalFS!I49,0)</f>
        <v>71.956872228939943</v>
      </c>
      <c r="J40" s="29">
        <f>IFERROR(HistoricalFS!J78/HistoricalFS!J49,0)</f>
        <v>22.926073971378042</v>
      </c>
      <c r="K40" s="29">
        <f>IFERROR(HistoricalFS!K78/HistoricalFS!K49,0)</f>
        <v>35.967736810329306</v>
      </c>
      <c r="L40" s="29">
        <f>IFERROR(HistoricalFS!L78/HistoricalFS!L49,0)</f>
        <v>24.087674830513652</v>
      </c>
      <c r="M40" s="28"/>
      <c r="N40" s="29">
        <f t="shared" si="18"/>
        <v>56.198626040300361</v>
      </c>
      <c r="O40" s="29">
        <f t="shared" si="19"/>
        <v>47.919710627303616</v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0000000-0003-0000-0200-000003000000}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Analysis'!D5:L5</xm:f>
              <xm:sqref>M5</xm:sqref>
            </x14:sparkline>
          </x14:sparklines>
        </x14:sparklineGroup>
        <x14:sparklineGroup displayEmptyCellsAs="gap" markers="1" xr2:uid="{00000000-0003-0000-0200-000002000000}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00000000-0003-0000-0200-000001000000}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Analysis'!C11:L11</xm:f>
              <xm:sqref>M11</xm:sqref>
            </x14:sparkline>
            <x14:sparkline>
              <xm:f>'Ratio Analysis'!C16:L16</xm:f>
              <xm:sqref>M16</xm:sqref>
            </x14:sparkline>
            <x14:sparkline>
              <xm:f>'Ratio Analysis'!C21:L21</xm:f>
              <xm:sqref>M21</xm:sqref>
            </x14:sparkline>
            <x14:sparkline>
              <xm:f>'Ratio Analysis'!C26:L26</xm:f>
              <xm:sqref>M26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Analysis'!C37:L37</xm:f>
              <xm:sqref>M37</xm:sqref>
            </x14:sparkline>
          </x14:sparklines>
        </x14:sparklineGroup>
        <x14:sparklineGroup displayEmptyCellsAs="gap" markers="1" xr2:uid="{00000000-0003-0000-0200-000000000000}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O22"/>
  <sheetViews>
    <sheetView showGridLines="0" workbookViewId="0">
      <selection activeCell="N16" sqref="N16"/>
    </sheetView>
  </sheetViews>
  <sheetFormatPr defaultRowHeight="14.5" x14ac:dyDescent="0.35"/>
  <cols>
    <col min="1" max="1" width="1.90625" customWidth="1"/>
    <col min="4" max="4" width="12.453125" customWidth="1"/>
    <col min="5" max="5" width="11.6328125" bestFit="1" customWidth="1"/>
    <col min="6" max="6" width="2.81640625" customWidth="1"/>
    <col min="7" max="7" width="10.90625" bestFit="1" customWidth="1"/>
    <col min="8" max="8" width="6.08984375" bestFit="1" customWidth="1"/>
    <col min="9" max="9" width="10.54296875" customWidth="1"/>
    <col min="10" max="10" width="11.6328125" bestFit="1" customWidth="1"/>
    <col min="11" max="11" width="2.81640625" customWidth="1"/>
    <col min="12" max="12" width="10.90625" bestFit="1" customWidth="1"/>
    <col min="13" max="13" width="6.08984375" bestFit="1" customWidth="1"/>
    <col min="14" max="14" width="8.6328125" bestFit="1" customWidth="1"/>
    <col min="15" max="15" width="11.6328125" bestFit="1" customWidth="1"/>
  </cols>
  <sheetData>
    <row r="4" spans="2:15" x14ac:dyDescent="0.35">
      <c r="B4" s="47" t="str">
        <f>'Data Sheet'!B1&amp;" - "&amp;'Data Sheet'!A17&amp;" Forecast"</f>
        <v>MPHASIS LTD - Sales Forecast</v>
      </c>
      <c r="C4" s="47"/>
      <c r="D4" s="47"/>
      <c r="E4" s="47"/>
      <c r="G4" s="47" t="str">
        <f>'Data Sheet'!B1&amp;" - "&amp;HistoricalFS!B17&amp;" Forecast "</f>
        <v xml:space="preserve">MPHASIS LTD - EBITDA Forecast </v>
      </c>
      <c r="H4" s="47"/>
      <c r="I4" s="47"/>
      <c r="J4" s="47"/>
      <c r="L4" s="48" t="str">
        <f>'Data Sheet'!B1&amp;" - "&amp;HistoricalFS!B26&amp;" Forecast "</f>
        <v xml:space="preserve">MPHASIS LTD - Earning Before Tax Forecast </v>
      </c>
      <c r="M4" s="48"/>
      <c r="N4" s="48"/>
      <c r="O4" s="48"/>
    </row>
    <row r="5" spans="2:15" x14ac:dyDescent="0.35">
      <c r="B5" s="36" t="s">
        <v>157</v>
      </c>
      <c r="C5" s="37" t="s">
        <v>158</v>
      </c>
      <c r="D5" s="37" t="s">
        <v>33</v>
      </c>
      <c r="E5" s="38" t="s">
        <v>58</v>
      </c>
      <c r="G5" s="36" t="s">
        <v>157</v>
      </c>
      <c r="H5" s="37" t="s">
        <v>158</v>
      </c>
      <c r="I5" s="37" t="s">
        <v>33</v>
      </c>
      <c r="J5" s="38" t="s">
        <v>58</v>
      </c>
      <c r="L5" s="36" t="s">
        <v>157</v>
      </c>
      <c r="M5" s="37" t="s">
        <v>158</v>
      </c>
      <c r="N5" s="37" t="s">
        <v>33</v>
      </c>
      <c r="O5" s="38" t="s">
        <v>58</v>
      </c>
    </row>
    <row r="6" spans="2:15" x14ac:dyDescent="0.35">
      <c r="B6" s="35">
        <v>1</v>
      </c>
      <c r="C6" s="39">
        <f>'Data Sheet'!$B$16</f>
        <v>42825</v>
      </c>
      <c r="D6" s="40">
        <f t="array" ref="D6:D15">TRANSPOSE('Data Sheet'!B17:K17)</f>
        <v>6076.36</v>
      </c>
      <c r="G6" s="35">
        <v>1</v>
      </c>
      <c r="H6" s="39">
        <v>42460</v>
      </c>
      <c r="I6" s="40">
        <f t="array" ref="I6:I15">TRANSPOSE(HistoricalFS!C17:M17)</f>
        <v>968.79999999999905</v>
      </c>
      <c r="L6" s="35">
        <v>1</v>
      </c>
      <c r="M6" s="39">
        <v>42460</v>
      </c>
      <c r="N6" s="40">
        <f t="array" ref="N6:N15">TRANSPOSE(HistoricalFS!C26:M26)</f>
        <v>875.76999999999907</v>
      </c>
    </row>
    <row r="7" spans="2:15" x14ac:dyDescent="0.35">
      <c r="B7" s="35">
        <v>2</v>
      </c>
      <c r="C7" s="39">
        <f>C6+365</f>
        <v>43190</v>
      </c>
      <c r="D7" s="40">
        <v>6545.84</v>
      </c>
      <c r="E7" s="41">
        <f>D7/D6-1</f>
        <v>7.7263361617810666E-2</v>
      </c>
      <c r="G7" s="35">
        <v>2</v>
      </c>
      <c r="H7" s="39">
        <v>42825</v>
      </c>
      <c r="I7" s="40">
        <v>1062.3800000000001</v>
      </c>
      <c r="J7" s="41">
        <f>I7/I6-1</f>
        <v>9.6593724194881547E-2</v>
      </c>
      <c r="L7" s="35">
        <v>2</v>
      </c>
      <c r="M7" s="39">
        <v>42825</v>
      </c>
      <c r="N7" s="40">
        <v>978.56000000000017</v>
      </c>
      <c r="O7" s="41">
        <f>N7/N6-1</f>
        <v>0.1173709992349603</v>
      </c>
    </row>
    <row r="8" spans="2:15" x14ac:dyDescent="0.35">
      <c r="B8" s="35">
        <v>3</v>
      </c>
      <c r="C8" s="39">
        <f t="shared" ref="C8:C22" si="0">C7+365</f>
        <v>43555</v>
      </c>
      <c r="D8" s="40">
        <v>7730.98</v>
      </c>
      <c r="E8" s="41">
        <f t="shared" ref="E8:E22" si="1">D8/D7-1</f>
        <v>0.18105239358126668</v>
      </c>
      <c r="G8" s="35">
        <v>3</v>
      </c>
      <c r="H8" s="39">
        <v>43190</v>
      </c>
      <c r="I8" s="40">
        <v>1323.8300000000006</v>
      </c>
      <c r="J8" s="41">
        <f t="shared" ref="J8:J22" si="2">I8/I7-1</f>
        <v>0.24609838287618402</v>
      </c>
      <c r="L8" s="35">
        <v>3</v>
      </c>
      <c r="M8" s="39">
        <v>43190</v>
      </c>
      <c r="N8" s="40">
        <v>1230.6200000000006</v>
      </c>
      <c r="O8" s="41">
        <f t="shared" ref="O8:O22" si="3">N8/N7-1</f>
        <v>0.25758257030739085</v>
      </c>
    </row>
    <row r="9" spans="2:15" x14ac:dyDescent="0.35">
      <c r="B9" s="35">
        <v>4</v>
      </c>
      <c r="C9" s="39">
        <f t="shared" si="0"/>
        <v>43920</v>
      </c>
      <c r="D9" s="40">
        <v>8843.5400000000009</v>
      </c>
      <c r="E9" s="41">
        <f t="shared" si="1"/>
        <v>0.14390931033323096</v>
      </c>
      <c r="G9" s="35">
        <v>4</v>
      </c>
      <c r="H9" s="39">
        <v>43555</v>
      </c>
      <c r="I9" s="40">
        <v>1650.3800000000008</v>
      </c>
      <c r="J9" s="41">
        <f t="shared" si="2"/>
        <v>0.24667064502239722</v>
      </c>
      <c r="L9" s="35">
        <v>4</v>
      </c>
      <c r="M9" s="39">
        <v>43555</v>
      </c>
      <c r="N9" s="40">
        <v>1337.5600000000009</v>
      </c>
      <c r="O9" s="41">
        <f t="shared" si="3"/>
        <v>8.6899286538492992E-2</v>
      </c>
    </row>
    <row r="10" spans="2:15" x14ac:dyDescent="0.35">
      <c r="B10" s="35">
        <v>5</v>
      </c>
      <c r="C10" s="39">
        <f t="shared" si="0"/>
        <v>44285</v>
      </c>
      <c r="D10" s="40">
        <v>9722.31</v>
      </c>
      <c r="E10" s="41">
        <f t="shared" si="1"/>
        <v>9.9368578646107597E-2</v>
      </c>
      <c r="G10" s="35">
        <v>5</v>
      </c>
      <c r="H10" s="39">
        <v>43920</v>
      </c>
      <c r="I10" s="40">
        <v>1802.8699999999997</v>
      </c>
      <c r="J10" s="41">
        <f t="shared" si="2"/>
        <v>9.2396902531537428E-2</v>
      </c>
      <c r="L10" s="35">
        <v>5</v>
      </c>
      <c r="M10" s="39">
        <v>43920</v>
      </c>
      <c r="N10" s="40">
        <v>1497.6599999999996</v>
      </c>
      <c r="O10" s="41">
        <f t="shared" si="3"/>
        <v>0.11969556505876278</v>
      </c>
    </row>
    <row r="11" spans="2:15" x14ac:dyDescent="0.35">
      <c r="B11" s="35">
        <v>6</v>
      </c>
      <c r="C11" s="39">
        <f t="shared" si="0"/>
        <v>44650</v>
      </c>
      <c r="D11" s="40">
        <v>11961.44</v>
      </c>
      <c r="E11" s="41">
        <f t="shared" si="1"/>
        <v>0.23030843492955899</v>
      </c>
      <c r="G11" s="35">
        <v>6</v>
      </c>
      <c r="H11" s="39">
        <v>44285</v>
      </c>
      <c r="I11" s="40">
        <v>2117.6</v>
      </c>
      <c r="J11" s="41">
        <f t="shared" si="2"/>
        <v>0.17457165519421824</v>
      </c>
      <c r="L11" s="35">
        <v>6</v>
      </c>
      <c r="M11" s="39">
        <v>44285</v>
      </c>
      <c r="N11" s="40">
        <v>1752.4499999999998</v>
      </c>
      <c r="O11" s="41">
        <f t="shared" si="3"/>
        <v>0.17012539561716289</v>
      </c>
    </row>
    <row r="12" spans="2:15" x14ac:dyDescent="0.35">
      <c r="B12" s="35">
        <v>7</v>
      </c>
      <c r="C12" s="39">
        <f t="shared" si="0"/>
        <v>45015</v>
      </c>
      <c r="D12" s="40">
        <v>13798.5</v>
      </c>
      <c r="E12" s="41">
        <f t="shared" si="1"/>
        <v>0.15358184298880406</v>
      </c>
      <c r="G12" s="35">
        <v>7</v>
      </c>
      <c r="H12" s="39">
        <v>44650</v>
      </c>
      <c r="I12" s="40">
        <v>2433.9600000000005</v>
      </c>
      <c r="J12" s="41">
        <f t="shared" si="2"/>
        <v>0.14939554212315853</v>
      </c>
      <c r="L12" s="35">
        <v>7</v>
      </c>
      <c r="M12" s="39">
        <v>44650</v>
      </c>
      <c r="N12" s="40">
        <v>2011.4600000000005</v>
      </c>
      <c r="O12" s="41">
        <f t="shared" si="3"/>
        <v>0.1477987959713547</v>
      </c>
    </row>
    <row r="13" spans="2:15" x14ac:dyDescent="0.35">
      <c r="B13" s="35">
        <v>8</v>
      </c>
      <c r="C13" s="39">
        <f t="shared" si="0"/>
        <v>45380</v>
      </c>
      <c r="D13" s="40">
        <v>13278.52</v>
      </c>
      <c r="E13" s="41">
        <f t="shared" si="1"/>
        <v>-3.7683806210820014E-2</v>
      </c>
      <c r="G13" s="35">
        <v>8</v>
      </c>
      <c r="H13" s="39">
        <v>45015</v>
      </c>
      <c r="I13" s="40">
        <v>2421.8900000000003</v>
      </c>
      <c r="J13" s="41">
        <f t="shared" si="2"/>
        <v>-4.9589968610823654E-3</v>
      </c>
      <c r="L13" s="35">
        <v>8</v>
      </c>
      <c r="M13" s="39">
        <v>45015</v>
      </c>
      <c r="N13" s="40">
        <v>1850.5200000000004</v>
      </c>
      <c r="O13" s="41">
        <f t="shared" si="3"/>
        <v>-8.0011533910691712E-2</v>
      </c>
    </row>
    <row r="14" spans="2:15" x14ac:dyDescent="0.35">
      <c r="B14" s="35">
        <v>9</v>
      </c>
      <c r="C14" s="39">
        <f t="shared" si="0"/>
        <v>45745</v>
      </c>
      <c r="D14" s="40">
        <v>14229.99</v>
      </c>
      <c r="E14" s="41">
        <f t="shared" si="1"/>
        <v>7.1654822977259558E-2</v>
      </c>
      <c r="G14" s="35">
        <v>9</v>
      </c>
      <c r="H14" s="39">
        <v>45380</v>
      </c>
      <c r="I14" s="40">
        <v>2646.9800000000005</v>
      </c>
      <c r="J14" s="41">
        <f t="shared" si="2"/>
        <v>9.2939811469554767E-2</v>
      </c>
      <c r="L14" s="35">
        <v>9</v>
      </c>
      <c r="M14" s="39">
        <v>45380</v>
      </c>
      <c r="N14" s="40">
        <v>2005.1400000000006</v>
      </c>
      <c r="O14" s="41">
        <f t="shared" si="3"/>
        <v>8.3554892678814552E-2</v>
      </c>
    </row>
    <row r="15" spans="2:15" x14ac:dyDescent="0.35">
      <c r="B15" s="35">
        <v>10</v>
      </c>
      <c r="C15" s="39">
        <f t="shared" si="0"/>
        <v>46110</v>
      </c>
      <c r="D15" s="40">
        <v>15879.65</v>
      </c>
      <c r="E15" s="41">
        <f t="shared" si="1"/>
        <v>0.11592840191735898</v>
      </c>
      <c r="G15" s="35">
        <v>10</v>
      </c>
      <c r="H15" s="39">
        <v>45745</v>
      </c>
      <c r="I15" s="40">
        <v>2978.1800000000003</v>
      </c>
      <c r="J15" s="41">
        <f t="shared" si="2"/>
        <v>0.12512372590650478</v>
      </c>
      <c r="L15" s="35">
        <v>10</v>
      </c>
      <c r="M15" s="39">
        <v>45745</v>
      </c>
      <c r="N15" s="40">
        <v>2218.8500000000004</v>
      </c>
      <c r="O15" s="41">
        <f t="shared" si="3"/>
        <v>0.10658108660741883</v>
      </c>
    </row>
    <row r="16" spans="2:15" x14ac:dyDescent="0.35">
      <c r="B16" s="42">
        <v>11</v>
      </c>
      <c r="C16" s="43">
        <f t="shared" si="0"/>
        <v>46475</v>
      </c>
      <c r="D16" s="44">
        <f>FORECAST(B16,$D$6:$D$15,$B$6:$B$15)</f>
        <v>17035.392</v>
      </c>
      <c r="E16" s="45">
        <f t="shared" si="1"/>
        <v>7.2781327044361799E-2</v>
      </c>
      <c r="G16" s="42">
        <v>11</v>
      </c>
      <c r="H16" s="43">
        <v>46110</v>
      </c>
      <c r="I16" s="44">
        <f t="shared" ref="I16:I22" si="4">FORECAST(G16,$I$6:$I$15,$G$6:$G$15)</f>
        <v>3185.1000000000004</v>
      </c>
      <c r="J16" s="45">
        <f t="shared" si="2"/>
        <v>6.9478674895405934E-2</v>
      </c>
      <c r="L16" s="42">
        <v>11</v>
      </c>
      <c r="M16" s="43">
        <v>46110</v>
      </c>
      <c r="N16" s="44">
        <f>FORECAST(L16,$N$6:$N$15,$L$6:$L$15)</f>
        <v>2397.5180000000005</v>
      </c>
      <c r="O16" s="45">
        <f t="shared" si="3"/>
        <v>8.0522793338891896E-2</v>
      </c>
    </row>
    <row r="17" spans="2:15" x14ac:dyDescent="0.35">
      <c r="B17" s="42">
        <v>12</v>
      </c>
      <c r="C17" s="43">
        <f t="shared" si="0"/>
        <v>46840</v>
      </c>
      <c r="D17" s="44">
        <f t="shared" ref="D17:D22" si="5">FORECAST(B17,$D$6:$D$15,$B$6:$B$15)</f>
        <v>18167.879090909089</v>
      </c>
      <c r="E17" s="45">
        <f t="shared" si="1"/>
        <v>6.647848731095185E-2</v>
      </c>
      <c r="G17" s="42">
        <v>12</v>
      </c>
      <c r="H17" s="43">
        <v>46475</v>
      </c>
      <c r="I17" s="44">
        <f t="shared" si="4"/>
        <v>3411.3569090909095</v>
      </c>
      <c r="J17" s="45">
        <f t="shared" si="2"/>
        <v>7.1036045678600113E-2</v>
      </c>
      <c r="L17" s="42">
        <v>12</v>
      </c>
      <c r="M17" s="43">
        <v>46475</v>
      </c>
      <c r="N17" s="44">
        <f t="shared" ref="N17:N22" si="6">FORECAST(L17,$N$6:$N$15,$L$6:$L$15)</f>
        <v>2546.9105454545461</v>
      </c>
      <c r="O17" s="45">
        <f t="shared" si="3"/>
        <v>6.231133424422497E-2</v>
      </c>
    </row>
    <row r="18" spans="2:15" x14ac:dyDescent="0.35">
      <c r="B18" s="42">
        <v>13</v>
      </c>
      <c r="C18" s="43">
        <f t="shared" si="0"/>
        <v>47205</v>
      </c>
      <c r="D18" s="44">
        <f t="shared" si="5"/>
        <v>19300.366181818183</v>
      </c>
      <c r="E18" s="45">
        <f t="shared" si="1"/>
        <v>6.2334578804840834E-2</v>
      </c>
      <c r="G18" s="42">
        <v>13</v>
      </c>
      <c r="H18" s="43">
        <v>46840</v>
      </c>
      <c r="I18" s="44">
        <f t="shared" si="4"/>
        <v>3637.6138181818187</v>
      </c>
      <c r="J18" s="45">
        <f t="shared" si="2"/>
        <v>6.6324607808686986E-2</v>
      </c>
      <c r="L18" s="42">
        <v>13</v>
      </c>
      <c r="M18" s="43">
        <v>46840</v>
      </c>
      <c r="N18" s="44">
        <f t="shared" si="6"/>
        <v>2696.3030909090917</v>
      </c>
      <c r="O18" s="45">
        <f t="shared" si="3"/>
        <v>5.8656377123713854E-2</v>
      </c>
    </row>
    <row r="19" spans="2:15" x14ac:dyDescent="0.35">
      <c r="B19" s="42">
        <v>14</v>
      </c>
      <c r="C19" s="43">
        <f t="shared" si="0"/>
        <v>47570</v>
      </c>
      <c r="D19" s="44">
        <f t="shared" si="5"/>
        <v>20432.853272727272</v>
      </c>
      <c r="E19" s="45">
        <f t="shared" si="1"/>
        <v>5.8676974324763931E-2</v>
      </c>
      <c r="G19" s="42">
        <v>14</v>
      </c>
      <c r="H19" s="43">
        <v>47205</v>
      </c>
      <c r="I19" s="44">
        <f t="shared" si="4"/>
        <v>3863.8707272727279</v>
      </c>
      <c r="J19" s="45">
        <f t="shared" si="2"/>
        <v>6.2199265892386224E-2</v>
      </c>
      <c r="L19" s="42">
        <v>14</v>
      </c>
      <c r="M19" s="43">
        <v>47205</v>
      </c>
      <c r="N19" s="44">
        <f t="shared" si="6"/>
        <v>2845.6956363636373</v>
      </c>
      <c r="O19" s="45">
        <f t="shared" si="3"/>
        <v>5.5406436300963424E-2</v>
      </c>
    </row>
    <row r="20" spans="2:15" x14ac:dyDescent="0.35">
      <c r="B20" s="42">
        <v>15</v>
      </c>
      <c r="C20" s="43">
        <f t="shared" si="0"/>
        <v>47935</v>
      </c>
      <c r="D20" s="44">
        <f t="shared" si="5"/>
        <v>21565.340363636366</v>
      </c>
      <c r="E20" s="45">
        <f t="shared" si="1"/>
        <v>5.5424813940238016E-2</v>
      </c>
      <c r="G20" s="42">
        <v>15</v>
      </c>
      <c r="H20" s="43">
        <v>47570</v>
      </c>
      <c r="I20" s="44">
        <f t="shared" si="4"/>
        <v>4090.1276363636371</v>
      </c>
      <c r="J20" s="45">
        <f t="shared" si="2"/>
        <v>5.855705976235126E-2</v>
      </c>
      <c r="L20" s="42">
        <v>15</v>
      </c>
      <c r="M20" s="43">
        <v>47570</v>
      </c>
      <c r="N20" s="44">
        <f t="shared" si="6"/>
        <v>2995.0881818181829</v>
      </c>
      <c r="O20" s="45">
        <f t="shared" si="3"/>
        <v>5.2497724473951957E-2</v>
      </c>
    </row>
    <row r="21" spans="2:15" x14ac:dyDescent="0.35">
      <c r="B21" s="42">
        <v>16</v>
      </c>
      <c r="C21" s="43">
        <f t="shared" si="0"/>
        <v>48300</v>
      </c>
      <c r="D21" s="44">
        <f t="shared" si="5"/>
        <v>22697.827454545455</v>
      </c>
      <c r="E21" s="45">
        <f t="shared" si="1"/>
        <v>5.2514222906432595E-2</v>
      </c>
      <c r="G21" s="42">
        <v>16</v>
      </c>
      <c r="H21" s="43">
        <v>47935</v>
      </c>
      <c r="I21" s="44">
        <f t="shared" si="4"/>
        <v>4316.3845454545462</v>
      </c>
      <c r="J21" s="45">
        <f t="shared" si="2"/>
        <v>5.531781137570202E-2</v>
      </c>
      <c r="L21" s="42">
        <v>16</v>
      </c>
      <c r="M21" s="43">
        <v>47935</v>
      </c>
      <c r="N21" s="44">
        <f t="shared" si="6"/>
        <v>3144.4807272727285</v>
      </c>
      <c r="O21" s="45">
        <f t="shared" si="3"/>
        <v>4.9879180974182979E-2</v>
      </c>
    </row>
    <row r="22" spans="2:15" x14ac:dyDescent="0.35">
      <c r="B22" s="42">
        <v>17</v>
      </c>
      <c r="C22" s="43">
        <f t="shared" si="0"/>
        <v>48665</v>
      </c>
      <c r="D22" s="44">
        <f t="shared" si="5"/>
        <v>23830.314545454545</v>
      </c>
      <c r="E22" s="45">
        <f t="shared" si="1"/>
        <v>4.9894074363592722E-2</v>
      </c>
      <c r="G22" s="42">
        <v>17</v>
      </c>
      <c r="H22" s="43">
        <v>48300</v>
      </c>
      <c r="I22" s="44">
        <f t="shared" si="4"/>
        <v>4542.6414545454554</v>
      </c>
      <c r="J22" s="45">
        <f t="shared" si="2"/>
        <v>5.2418153829499214E-2</v>
      </c>
      <c r="L22" s="42">
        <v>17</v>
      </c>
      <c r="M22" s="43">
        <v>48300</v>
      </c>
      <c r="N22" s="44">
        <f t="shared" si="6"/>
        <v>3293.8732727272741</v>
      </c>
      <c r="O22" s="45">
        <f t="shared" si="3"/>
        <v>4.750944858997963E-2</v>
      </c>
    </row>
  </sheetData>
  <mergeCells count="3">
    <mergeCell ref="B4:E4"/>
    <mergeCell ref="G4:J4"/>
    <mergeCell ref="L4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"/>
  <sheetViews>
    <sheetView workbookViewId="0">
      <selection activeCell="F32" sqref="F3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77" zoomScaleNormal="120" zoomScalePageLayoutView="120" workbookViewId="0">
      <pane xSplit="1" ySplit="1" topLeftCell="B70" activePane="bottomRight" state="frozen"/>
      <selection activeCell="C4" sqref="C4"/>
      <selection pane="topRight" activeCell="C4" sqref="C4"/>
      <selection pane="bottomLeft" activeCell="C4" sqref="C4"/>
      <selection pane="bottomRight" activeCell="F10" sqref="F10"/>
    </sheetView>
  </sheetViews>
  <sheetFormatPr defaultColWidth="8.81640625" defaultRowHeight="14.5" x14ac:dyDescent="0.35"/>
  <cols>
    <col min="1" max="1" width="27.6328125" style="1" bestFit="1" customWidth="1"/>
    <col min="2" max="11" width="13.453125" style="1" bestFit="1" customWidth="1"/>
    <col min="12" max="16384" width="8.81640625" style="1"/>
  </cols>
  <sheetData>
    <row r="1" spans="1:11" s="3" customFormat="1" x14ac:dyDescent="0.35">
      <c r="A1" s="3" t="s">
        <v>53</v>
      </c>
      <c r="B1" s="3" t="s">
        <v>52</v>
      </c>
      <c r="E1" s="49" t="str">
        <f>IF(B2&lt;&gt;B3, "A NEW VERSION OF THE WORKSHEET IS AVAILABLE", "")</f>
        <v/>
      </c>
      <c r="F1" s="49"/>
      <c r="G1" s="49"/>
      <c r="H1" s="49"/>
      <c r="I1" s="49"/>
      <c r="J1" s="49"/>
      <c r="K1" s="49"/>
    </row>
    <row r="2" spans="1:11" x14ac:dyDescent="0.35">
      <c r="A2" s="3" t="s">
        <v>51</v>
      </c>
      <c r="B2" s="1">
        <v>2.1</v>
      </c>
      <c r="E2" s="50" t="s">
        <v>50</v>
      </c>
      <c r="F2" s="50"/>
      <c r="G2" s="50"/>
      <c r="H2" s="50"/>
      <c r="I2" s="50"/>
      <c r="J2" s="50"/>
      <c r="K2" s="50"/>
    </row>
    <row r="3" spans="1:11" x14ac:dyDescent="0.35">
      <c r="A3" s="3" t="s">
        <v>49</v>
      </c>
      <c r="B3" s="1">
        <v>2.1</v>
      </c>
    </row>
    <row r="4" spans="1:11" x14ac:dyDescent="0.35">
      <c r="A4" s="3"/>
      <c r="B4" s="1" t="str">
        <f>'Data Sheet'!B1&amp;" -"</f>
        <v>MPHASIS LTD -</v>
      </c>
    </row>
    <row r="5" spans="1:11" x14ac:dyDescent="0.35">
      <c r="A5" s="3" t="s">
        <v>48</v>
      </c>
    </row>
    <row r="6" spans="1:11" x14ac:dyDescent="0.35">
      <c r="A6" s="1" t="s">
        <v>47</v>
      </c>
      <c r="B6" s="1">
        <f>IF(B9&gt;0, B9/B8, 0)</f>
        <v>19.079925714041753</v>
      </c>
    </row>
    <row r="7" spans="1:11" x14ac:dyDescent="0.35">
      <c r="A7" s="1" t="s">
        <v>46</v>
      </c>
      <c r="B7">
        <v>10</v>
      </c>
    </row>
    <row r="8" spans="1:11" x14ac:dyDescent="0.35">
      <c r="A8" s="1" t="s">
        <v>45</v>
      </c>
      <c r="B8">
        <v>2342.3000000000002</v>
      </c>
      <c r="C8" s="1">
        <f>IFERROR('Data Sheet'!C18,'Data Sheet'!C20:C22)*-1</f>
        <v>0</v>
      </c>
    </row>
    <row r="9" spans="1:11" x14ac:dyDescent="0.35">
      <c r="A9" s="1" t="s">
        <v>44</v>
      </c>
      <c r="B9">
        <v>44690.91</v>
      </c>
    </row>
    <row r="15" spans="1:11" x14ac:dyDescent="0.35">
      <c r="A15" s="3" t="s">
        <v>43</v>
      </c>
    </row>
    <row r="16" spans="1:11" s="5" customFormat="1" x14ac:dyDescent="0.35">
      <c r="A16" s="7" t="s">
        <v>7</v>
      </c>
      <c r="B16" s="6">
        <v>42825</v>
      </c>
      <c r="C16" s="6">
        <v>43190</v>
      </c>
      <c r="D16" s="6">
        <v>43555</v>
      </c>
      <c r="E16" s="6">
        <v>43921</v>
      </c>
      <c r="F16" s="6">
        <v>44286</v>
      </c>
      <c r="G16" s="6">
        <v>44651</v>
      </c>
      <c r="H16" s="6">
        <v>45016</v>
      </c>
      <c r="I16" s="6">
        <v>45382</v>
      </c>
      <c r="J16" s="6">
        <v>45747</v>
      </c>
      <c r="K16" s="6">
        <v>46112</v>
      </c>
    </row>
    <row r="17" spans="1:11" s="4" customFormat="1" x14ac:dyDescent="0.35">
      <c r="A17" s="4" t="s">
        <v>33</v>
      </c>
      <c r="B17">
        <v>6076.36</v>
      </c>
      <c r="C17">
        <v>6545.84</v>
      </c>
      <c r="D17">
        <v>7730.98</v>
      </c>
      <c r="E17">
        <v>8843.5400000000009</v>
      </c>
      <c r="F17">
        <v>9722.31</v>
      </c>
      <c r="G17">
        <v>11961.44</v>
      </c>
      <c r="H17">
        <v>13798.5</v>
      </c>
      <c r="I17">
        <v>13278.52</v>
      </c>
      <c r="J17">
        <v>14229.99</v>
      </c>
      <c r="K17">
        <v>15879.65</v>
      </c>
    </row>
    <row r="18" spans="1:11" s="4" customFormat="1" x14ac:dyDescent="0.35">
      <c r="A18" s="1" t="s">
        <v>42</v>
      </c>
      <c r="B18">
        <v>0.02</v>
      </c>
      <c r="C18"/>
      <c r="D18"/>
      <c r="E18"/>
      <c r="F18"/>
      <c r="G18"/>
      <c r="H18"/>
      <c r="I18"/>
      <c r="J18"/>
      <c r="K18"/>
    </row>
    <row r="19" spans="1:11" s="4" customFormat="1" x14ac:dyDescent="0.35">
      <c r="A19" s="1" t="s">
        <v>41</v>
      </c>
      <c r="B19">
        <v>-4.0999999999999996</v>
      </c>
      <c r="C19"/>
      <c r="D19"/>
      <c r="E19"/>
      <c r="F19"/>
      <c r="G19"/>
      <c r="H19"/>
      <c r="I19"/>
      <c r="J19"/>
      <c r="K19"/>
    </row>
    <row r="20" spans="1:11" s="4" customFormat="1" x14ac:dyDescent="0.35">
      <c r="A20" s="1" t="s">
        <v>40</v>
      </c>
      <c r="B20">
        <v>35.090000000000003</v>
      </c>
      <c r="C20">
        <v>29.75</v>
      </c>
      <c r="D20">
        <v>34.86</v>
      </c>
      <c r="E20">
        <v>39.07</v>
      </c>
      <c r="F20">
        <v>26.14</v>
      </c>
      <c r="G20">
        <v>24.88</v>
      </c>
      <c r="H20">
        <v>26.5</v>
      </c>
      <c r="I20">
        <v>31.16</v>
      </c>
      <c r="J20">
        <v>30.86</v>
      </c>
      <c r="K20">
        <v>27.5</v>
      </c>
    </row>
    <row r="21" spans="1:11" s="4" customFormat="1" x14ac:dyDescent="0.35">
      <c r="A21" s="1" t="s">
        <v>39</v>
      </c>
      <c r="B21">
        <v>511.51</v>
      </c>
      <c r="C21">
        <v>758.62</v>
      </c>
      <c r="D21">
        <v>1102.82</v>
      </c>
      <c r="E21">
        <v>1577.5</v>
      </c>
      <c r="F21">
        <v>1595.56</v>
      </c>
      <c r="G21">
        <v>2144.81</v>
      </c>
      <c r="H21">
        <v>2522.1999999999998</v>
      </c>
      <c r="I21">
        <v>2157.86</v>
      </c>
      <c r="J21">
        <v>2452.6</v>
      </c>
      <c r="K21">
        <v>2920.52</v>
      </c>
    </row>
    <row r="22" spans="1:11" s="4" customFormat="1" x14ac:dyDescent="0.35">
      <c r="A22" s="1" t="s">
        <v>38</v>
      </c>
      <c r="B22">
        <v>3709.56</v>
      </c>
      <c r="C22">
        <v>3817.93</v>
      </c>
      <c r="D22">
        <v>4298.6899999999996</v>
      </c>
      <c r="E22">
        <v>4922.6400000000003</v>
      </c>
      <c r="F22">
        <v>5629.79</v>
      </c>
      <c r="G22">
        <v>7034.5</v>
      </c>
      <c r="H22">
        <v>8075.78</v>
      </c>
      <c r="I22">
        <v>7925.33</v>
      </c>
      <c r="J22">
        <v>8144.66</v>
      </c>
      <c r="K22">
        <v>8918.7099999999991</v>
      </c>
    </row>
    <row r="23" spans="1:11" s="4" customFormat="1" x14ac:dyDescent="0.35">
      <c r="A23" s="1" t="s">
        <v>37</v>
      </c>
      <c r="B23">
        <v>714.52</v>
      </c>
      <c r="C23">
        <v>746.38</v>
      </c>
      <c r="D23">
        <v>849.37</v>
      </c>
      <c r="E23">
        <v>540.34</v>
      </c>
      <c r="F23">
        <v>528.11</v>
      </c>
      <c r="G23">
        <v>461.57</v>
      </c>
      <c r="H23">
        <v>512.75</v>
      </c>
      <c r="I23">
        <v>598.88</v>
      </c>
      <c r="J23">
        <v>597.08000000000004</v>
      </c>
      <c r="K23">
        <v>740.19</v>
      </c>
    </row>
    <row r="24" spans="1:11" s="4" customFormat="1" x14ac:dyDescent="0.35">
      <c r="A24" s="1" t="s">
        <v>36</v>
      </c>
      <c r="B24">
        <v>132.76</v>
      </c>
      <c r="C24">
        <v>130.78</v>
      </c>
      <c r="D24">
        <v>121.41</v>
      </c>
      <c r="E24">
        <v>113.61</v>
      </c>
      <c r="F24">
        <v>139.84</v>
      </c>
      <c r="G24">
        <v>178.08</v>
      </c>
      <c r="H24">
        <v>227.31</v>
      </c>
      <c r="I24">
        <v>143.4</v>
      </c>
      <c r="J24">
        <v>357.81</v>
      </c>
      <c r="K24">
        <v>294.55</v>
      </c>
    </row>
    <row r="25" spans="1:11" s="4" customFormat="1" x14ac:dyDescent="0.35">
      <c r="A25" s="4" t="s">
        <v>31</v>
      </c>
      <c r="B25">
        <v>223.44</v>
      </c>
      <c r="C25">
        <v>149.02000000000001</v>
      </c>
      <c r="D25">
        <v>176.71</v>
      </c>
      <c r="E25">
        <v>177.82</v>
      </c>
      <c r="F25">
        <v>132.94999999999999</v>
      </c>
      <c r="G25">
        <v>160.44999999999999</v>
      </c>
      <c r="H25">
        <v>161.6</v>
      </c>
      <c r="I25">
        <v>217.8</v>
      </c>
      <c r="J25">
        <v>255</v>
      </c>
      <c r="K25">
        <v>290.42</v>
      </c>
    </row>
    <row r="26" spans="1:11" s="4" customFormat="1" x14ac:dyDescent="0.35">
      <c r="A26" s="4" t="s">
        <v>30</v>
      </c>
      <c r="B26">
        <v>79.150000000000006</v>
      </c>
      <c r="C26">
        <v>70.819999999999993</v>
      </c>
      <c r="D26">
        <v>75.84</v>
      </c>
      <c r="E26">
        <v>231.63</v>
      </c>
      <c r="F26">
        <v>241.79</v>
      </c>
      <c r="G26">
        <v>290.75</v>
      </c>
      <c r="H26">
        <v>325.24</v>
      </c>
      <c r="I26">
        <v>410.5</v>
      </c>
      <c r="J26">
        <v>476.34</v>
      </c>
      <c r="K26">
        <v>555.27</v>
      </c>
    </row>
    <row r="27" spans="1:11" s="4" customFormat="1" x14ac:dyDescent="0.35">
      <c r="A27" s="4" t="s">
        <v>29</v>
      </c>
      <c r="B27">
        <v>13.88</v>
      </c>
      <c r="C27">
        <v>13</v>
      </c>
      <c r="D27">
        <v>17.37</v>
      </c>
      <c r="E27">
        <v>81.19</v>
      </c>
      <c r="F27">
        <v>63.42</v>
      </c>
      <c r="G27">
        <v>74.400000000000006</v>
      </c>
      <c r="H27">
        <v>97.26</v>
      </c>
      <c r="I27">
        <v>160.87</v>
      </c>
      <c r="J27">
        <v>165.5</v>
      </c>
      <c r="K27">
        <v>204.06</v>
      </c>
    </row>
    <row r="28" spans="1:11" s="4" customFormat="1" x14ac:dyDescent="0.35">
      <c r="A28" s="4" t="s">
        <v>28</v>
      </c>
      <c r="B28">
        <v>1099.21</v>
      </c>
      <c r="C28">
        <v>1127.58</v>
      </c>
      <c r="D28">
        <v>1407.33</v>
      </c>
      <c r="E28">
        <v>1515.38</v>
      </c>
      <c r="F28">
        <v>1630.61</v>
      </c>
      <c r="G28">
        <v>1912.9</v>
      </c>
      <c r="H28">
        <v>2173.06</v>
      </c>
      <c r="I28">
        <v>2068.3200000000002</v>
      </c>
      <c r="J28">
        <v>2260.14</v>
      </c>
      <c r="K28">
        <v>2509.27</v>
      </c>
    </row>
    <row r="29" spans="1:11" s="4" customFormat="1" x14ac:dyDescent="0.35">
      <c r="A29" s="4" t="s">
        <v>27</v>
      </c>
      <c r="B29">
        <v>307.63</v>
      </c>
      <c r="C29">
        <v>290.08</v>
      </c>
      <c r="D29">
        <v>333.98</v>
      </c>
      <c r="E29">
        <v>330.55</v>
      </c>
      <c r="F29">
        <v>413.8</v>
      </c>
      <c r="G29">
        <v>482.02</v>
      </c>
      <c r="H29">
        <v>535.14</v>
      </c>
      <c r="I29">
        <v>513.5</v>
      </c>
      <c r="J29">
        <v>558.01</v>
      </c>
      <c r="K29">
        <v>646.66</v>
      </c>
    </row>
    <row r="30" spans="1:11" s="4" customFormat="1" x14ac:dyDescent="0.35">
      <c r="A30" s="4" t="s">
        <v>26</v>
      </c>
      <c r="B30">
        <v>791.58</v>
      </c>
      <c r="C30">
        <v>837.5</v>
      </c>
      <c r="D30">
        <v>1073.3499999999999</v>
      </c>
      <c r="E30">
        <v>1184.8399999999999</v>
      </c>
      <c r="F30">
        <v>1216.81</v>
      </c>
      <c r="G30">
        <v>1430.89</v>
      </c>
      <c r="H30">
        <v>1637.92</v>
      </c>
      <c r="I30">
        <v>1554.82</v>
      </c>
      <c r="J30">
        <v>1702.14</v>
      </c>
      <c r="K30">
        <v>1862.6</v>
      </c>
    </row>
    <row r="31" spans="1:11" s="4" customFormat="1" x14ac:dyDescent="0.35">
      <c r="A31" s="4" t="s">
        <v>35</v>
      </c>
      <c r="B31">
        <v>357.71</v>
      </c>
      <c r="C31">
        <v>386.54</v>
      </c>
      <c r="D31">
        <v>502.82</v>
      </c>
      <c r="E31">
        <v>652.89</v>
      </c>
      <c r="F31">
        <v>1215.82</v>
      </c>
      <c r="G31">
        <v>864.02</v>
      </c>
      <c r="H31">
        <v>942.05</v>
      </c>
      <c r="I31">
        <v>1039.56</v>
      </c>
      <c r="J31">
        <v>1083.46</v>
      </c>
      <c r="K31">
        <v>1183.1500000000001</v>
      </c>
    </row>
    <row r="32" spans="1:11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3" t="s">
        <v>34</v>
      </c>
    </row>
    <row r="41" spans="1:11" s="5" customFormat="1" x14ac:dyDescent="0.35">
      <c r="A41" s="7" t="s">
        <v>7</v>
      </c>
      <c r="B41" s="6">
        <v>45382</v>
      </c>
      <c r="C41" s="6">
        <v>45473</v>
      </c>
      <c r="D41" s="6">
        <v>45565</v>
      </c>
      <c r="E41" s="6">
        <v>45657</v>
      </c>
      <c r="F41" s="6">
        <v>45747</v>
      </c>
      <c r="G41" s="6">
        <v>45838</v>
      </c>
      <c r="H41" s="6">
        <v>45930</v>
      </c>
      <c r="I41" s="6">
        <v>46022</v>
      </c>
      <c r="J41" s="6">
        <v>46112</v>
      </c>
      <c r="K41" s="6">
        <v>46203</v>
      </c>
    </row>
    <row r="42" spans="1:11" s="4" customFormat="1" x14ac:dyDescent="0.35">
      <c r="A42" s="4" t="s">
        <v>33</v>
      </c>
      <c r="B42">
        <v>3412.05</v>
      </c>
      <c r="C42">
        <v>3422.46</v>
      </c>
      <c r="D42">
        <v>3536.15</v>
      </c>
      <c r="E42">
        <v>3561.34</v>
      </c>
      <c r="F42">
        <v>3710.04</v>
      </c>
      <c r="G42">
        <v>3732.49</v>
      </c>
      <c r="H42">
        <v>3901.91</v>
      </c>
      <c r="I42">
        <v>4002.58</v>
      </c>
      <c r="J42">
        <v>4242.67</v>
      </c>
      <c r="K42">
        <v>4384.05</v>
      </c>
    </row>
    <row r="43" spans="1:11" s="4" customFormat="1" x14ac:dyDescent="0.35">
      <c r="A43" s="4" t="s">
        <v>32</v>
      </c>
      <c r="B43">
        <v>2773.3</v>
      </c>
      <c r="C43">
        <v>2803.92</v>
      </c>
      <c r="D43">
        <v>2888.28</v>
      </c>
      <c r="E43">
        <v>2883.34</v>
      </c>
      <c r="F43">
        <v>3007.48</v>
      </c>
      <c r="G43">
        <v>3029.63</v>
      </c>
      <c r="H43">
        <v>3180.29</v>
      </c>
      <c r="I43">
        <v>3252.4</v>
      </c>
      <c r="J43">
        <v>3439.14</v>
      </c>
      <c r="K43">
        <v>3588.88</v>
      </c>
    </row>
    <row r="44" spans="1:11" s="4" customFormat="1" x14ac:dyDescent="0.35">
      <c r="A44" s="4" t="s">
        <v>31</v>
      </c>
      <c r="B44">
        <v>64.180000000000007</v>
      </c>
      <c r="C44">
        <v>73.55</v>
      </c>
      <c r="D44">
        <v>58.75</v>
      </c>
      <c r="E44">
        <v>62.75</v>
      </c>
      <c r="F44">
        <v>59.96</v>
      </c>
      <c r="G44">
        <v>80.95</v>
      </c>
      <c r="H44">
        <v>74.64</v>
      </c>
      <c r="I44">
        <v>26.9</v>
      </c>
      <c r="J44">
        <v>107.92</v>
      </c>
      <c r="K44">
        <v>83.19</v>
      </c>
    </row>
    <row r="45" spans="1:11" s="4" customFormat="1" x14ac:dyDescent="0.35">
      <c r="A45" s="4" t="s">
        <v>30</v>
      </c>
      <c r="B45">
        <v>130.74</v>
      </c>
      <c r="C45">
        <v>105.01</v>
      </c>
      <c r="D45">
        <v>103.56</v>
      </c>
      <c r="E45">
        <v>132.41999999999999</v>
      </c>
      <c r="F45">
        <v>135.35</v>
      </c>
      <c r="G45">
        <v>131.91999999999999</v>
      </c>
      <c r="H45">
        <v>127.7</v>
      </c>
      <c r="I45">
        <v>142.85</v>
      </c>
      <c r="J45">
        <v>152.80000000000001</v>
      </c>
      <c r="K45">
        <v>147.06</v>
      </c>
    </row>
    <row r="46" spans="1:11" s="4" customFormat="1" x14ac:dyDescent="0.35">
      <c r="A46" s="4" t="s">
        <v>29</v>
      </c>
      <c r="B46">
        <v>49.88</v>
      </c>
      <c r="C46">
        <v>49.76</v>
      </c>
      <c r="D46">
        <v>40.49</v>
      </c>
      <c r="E46">
        <v>39.18</v>
      </c>
      <c r="F46">
        <v>36.07</v>
      </c>
      <c r="G46">
        <v>41.82</v>
      </c>
      <c r="H46">
        <v>43.77</v>
      </c>
      <c r="I46">
        <v>41.13</v>
      </c>
      <c r="J46">
        <v>77.34</v>
      </c>
      <c r="K46">
        <v>48.52</v>
      </c>
    </row>
    <row r="47" spans="1:11" s="4" customFormat="1" x14ac:dyDescent="0.35">
      <c r="A47" s="4" t="s">
        <v>28</v>
      </c>
      <c r="B47">
        <v>522.30999999999995</v>
      </c>
      <c r="C47">
        <v>537.32000000000005</v>
      </c>
      <c r="D47">
        <v>562.57000000000005</v>
      </c>
      <c r="E47">
        <v>569.15</v>
      </c>
      <c r="F47">
        <v>591.1</v>
      </c>
      <c r="G47">
        <v>610.07000000000005</v>
      </c>
      <c r="H47">
        <v>624.79</v>
      </c>
      <c r="I47">
        <v>593.1</v>
      </c>
      <c r="J47">
        <v>681.31</v>
      </c>
      <c r="K47">
        <v>682.78</v>
      </c>
    </row>
    <row r="48" spans="1:11" s="4" customFormat="1" x14ac:dyDescent="0.35">
      <c r="A48" s="4" t="s">
        <v>27</v>
      </c>
      <c r="B48">
        <v>129.09</v>
      </c>
      <c r="C48">
        <v>132.81</v>
      </c>
      <c r="D48">
        <v>139.24</v>
      </c>
      <c r="E48">
        <v>141.34</v>
      </c>
      <c r="F48">
        <v>144.61000000000001</v>
      </c>
      <c r="G48">
        <v>168.37</v>
      </c>
      <c r="H48">
        <v>155.69999999999999</v>
      </c>
      <c r="I48">
        <v>150.91</v>
      </c>
      <c r="J48">
        <v>171.68</v>
      </c>
      <c r="K48">
        <v>193.28</v>
      </c>
    </row>
    <row r="49" spans="1:11" s="4" customFormat="1" x14ac:dyDescent="0.35">
      <c r="A49" s="4" t="s">
        <v>26</v>
      </c>
      <c r="B49">
        <v>393.22</v>
      </c>
      <c r="C49">
        <v>404.51</v>
      </c>
      <c r="D49">
        <v>423.33</v>
      </c>
      <c r="E49">
        <v>427.81</v>
      </c>
      <c r="F49">
        <v>446.49</v>
      </c>
      <c r="G49">
        <v>441.7</v>
      </c>
      <c r="H49">
        <v>469.07</v>
      </c>
      <c r="I49">
        <v>442.19</v>
      </c>
      <c r="J49">
        <v>509.64</v>
      </c>
      <c r="K49">
        <v>489.51</v>
      </c>
    </row>
    <row r="50" spans="1:11" x14ac:dyDescent="0.35">
      <c r="A50" s="4" t="s">
        <v>25</v>
      </c>
      <c r="B50">
        <v>638.75</v>
      </c>
      <c r="C50">
        <v>618.54</v>
      </c>
      <c r="D50">
        <v>647.87</v>
      </c>
      <c r="E50">
        <v>678</v>
      </c>
      <c r="F50">
        <v>702.56</v>
      </c>
      <c r="G50">
        <v>702.86</v>
      </c>
      <c r="H50">
        <v>721.62</v>
      </c>
      <c r="I50">
        <v>750.18</v>
      </c>
      <c r="J50">
        <v>803.53</v>
      </c>
      <c r="K50">
        <v>795.17</v>
      </c>
    </row>
    <row r="51" spans="1:11" x14ac:dyDescent="0.35">
      <c r="A51" s="3" t="s">
        <v>65</v>
      </c>
      <c r="B51" s="11">
        <v>16892.02</v>
      </c>
      <c r="C51" s="11">
        <v>20164.599999999999</v>
      </c>
      <c r="D51" s="11">
        <v>19850</v>
      </c>
      <c r="E51" s="11">
        <v>20404</v>
      </c>
      <c r="F51" s="11">
        <v>22268</v>
      </c>
      <c r="G51" s="11">
        <v>23828</v>
      </c>
      <c r="H51" s="11">
        <v>22359</v>
      </c>
      <c r="I51" s="11">
        <v>18164</v>
      </c>
      <c r="J51" s="11">
        <v>17822</v>
      </c>
      <c r="K51" s="11">
        <v>22113</v>
      </c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3" t="s">
        <v>24</v>
      </c>
    </row>
    <row r="56" spans="1:11" s="5" customFormat="1" x14ac:dyDescent="0.35">
      <c r="A56" s="7" t="s">
        <v>7</v>
      </c>
      <c r="B56" s="6">
        <v>42825</v>
      </c>
      <c r="C56" s="6">
        <v>43190</v>
      </c>
      <c r="D56" s="6">
        <v>43555</v>
      </c>
      <c r="E56" s="6">
        <v>43921</v>
      </c>
      <c r="F56" s="6">
        <v>44286</v>
      </c>
      <c r="G56" s="6">
        <v>44651</v>
      </c>
      <c r="H56" s="6">
        <v>45016</v>
      </c>
      <c r="I56" s="6">
        <v>45382</v>
      </c>
      <c r="J56" s="6">
        <v>45747</v>
      </c>
      <c r="K56" s="6">
        <v>46112</v>
      </c>
    </row>
    <row r="57" spans="1:11" x14ac:dyDescent="0.35">
      <c r="A57" s="4" t="s">
        <v>23</v>
      </c>
      <c r="B57">
        <v>210.42</v>
      </c>
      <c r="C57">
        <v>193.27</v>
      </c>
      <c r="D57">
        <v>186.23</v>
      </c>
      <c r="E57">
        <v>186.54</v>
      </c>
      <c r="F57">
        <v>187.05</v>
      </c>
      <c r="G57">
        <v>187.83</v>
      </c>
      <c r="H57">
        <v>188.41</v>
      </c>
      <c r="I57">
        <v>189.01</v>
      </c>
      <c r="J57">
        <v>190.08</v>
      </c>
      <c r="K57">
        <v>190.83</v>
      </c>
    </row>
    <row r="58" spans="1:11" x14ac:dyDescent="0.35">
      <c r="A58" s="4" t="s">
        <v>22</v>
      </c>
      <c r="B58">
        <v>5941.98</v>
      </c>
      <c r="C58">
        <v>5288.52</v>
      </c>
      <c r="D58">
        <v>5063.59</v>
      </c>
      <c r="E58">
        <v>5643.06</v>
      </c>
      <c r="F58">
        <v>6339.66</v>
      </c>
      <c r="G58">
        <v>6755.31</v>
      </c>
      <c r="H58">
        <v>7746.43</v>
      </c>
      <c r="I58">
        <v>8605.6</v>
      </c>
      <c r="J58">
        <v>9438.31</v>
      </c>
      <c r="K58">
        <v>10552.89</v>
      </c>
    </row>
    <row r="59" spans="1:11" x14ac:dyDescent="0.35">
      <c r="A59" s="4" t="s">
        <v>21</v>
      </c>
      <c r="B59">
        <v>260.16000000000003</v>
      </c>
      <c r="C59">
        <v>389.88</v>
      </c>
      <c r="D59">
        <v>542.59</v>
      </c>
      <c r="E59">
        <v>571.28</v>
      </c>
      <c r="F59">
        <v>513.45000000000005</v>
      </c>
      <c r="G59">
        <v>527.24</v>
      </c>
      <c r="H59">
        <v>198.48</v>
      </c>
      <c r="I59">
        <v>1543.57</v>
      </c>
      <c r="J59">
        <v>1888.22</v>
      </c>
      <c r="K59">
        <v>2619.6799999999998</v>
      </c>
    </row>
    <row r="60" spans="1:11" x14ac:dyDescent="0.35">
      <c r="A60" s="4" t="s">
        <v>20</v>
      </c>
      <c r="B60">
        <v>888.69</v>
      </c>
      <c r="C60">
        <v>1108.7</v>
      </c>
      <c r="D60">
        <v>1575.86</v>
      </c>
      <c r="E60">
        <v>2338.89</v>
      </c>
      <c r="F60">
        <v>2324.5</v>
      </c>
      <c r="G60">
        <v>3213.94</v>
      </c>
      <c r="H60">
        <v>3373.18</v>
      </c>
      <c r="I60">
        <v>3662.15</v>
      </c>
      <c r="J60">
        <v>3227.72</v>
      </c>
      <c r="K60">
        <v>4245.58</v>
      </c>
    </row>
    <row r="61" spans="1:11" s="3" customFormat="1" x14ac:dyDescent="0.35">
      <c r="A61" s="3" t="s">
        <v>15</v>
      </c>
      <c r="B61">
        <v>7301.25</v>
      </c>
      <c r="C61">
        <v>6980.37</v>
      </c>
      <c r="D61">
        <v>7368.27</v>
      </c>
      <c r="E61">
        <v>8739.77</v>
      </c>
      <c r="F61">
        <v>9364.66</v>
      </c>
      <c r="G61">
        <v>10684.32</v>
      </c>
      <c r="H61">
        <v>11506.5</v>
      </c>
      <c r="I61">
        <v>14000.33</v>
      </c>
      <c r="J61">
        <v>14744.33</v>
      </c>
      <c r="K61">
        <v>17608.98</v>
      </c>
    </row>
    <row r="62" spans="1:11" x14ac:dyDescent="0.35">
      <c r="A62" s="4" t="s">
        <v>19</v>
      </c>
      <c r="B62">
        <v>1921.14</v>
      </c>
      <c r="C62">
        <v>1884.03</v>
      </c>
      <c r="D62">
        <v>2169.73</v>
      </c>
      <c r="E62">
        <v>3013.49</v>
      </c>
      <c r="F62">
        <v>3019.51</v>
      </c>
      <c r="G62">
        <v>3773.63</v>
      </c>
      <c r="H62">
        <v>4059.8</v>
      </c>
      <c r="I62">
        <v>5532.63</v>
      </c>
      <c r="J62">
        <v>5781.48</v>
      </c>
      <c r="K62">
        <v>6435.46</v>
      </c>
    </row>
    <row r="63" spans="1:11" x14ac:dyDescent="0.35">
      <c r="A63" s="4" t="s">
        <v>18</v>
      </c>
      <c r="B63">
        <v>1.08</v>
      </c>
      <c r="C63">
        <v>2.2599999999999998</v>
      </c>
      <c r="D63">
        <v>2.92</v>
      </c>
      <c r="E63">
        <v>16.7</v>
      </c>
      <c r="F63">
        <v>3.13</v>
      </c>
      <c r="G63">
        <v>10.98</v>
      </c>
      <c r="H63">
        <v>32.380000000000003</v>
      </c>
      <c r="I63">
        <v>61.44</v>
      </c>
      <c r="J63">
        <v>0.18</v>
      </c>
      <c r="K63">
        <v>0.06</v>
      </c>
    </row>
    <row r="64" spans="1:11" x14ac:dyDescent="0.35">
      <c r="A64" s="4" t="s">
        <v>17</v>
      </c>
      <c r="B64">
        <v>2395.65</v>
      </c>
      <c r="C64">
        <v>1782.07</v>
      </c>
      <c r="D64">
        <v>1329.22</v>
      </c>
      <c r="E64">
        <v>1325.65</v>
      </c>
      <c r="F64">
        <v>1846.02</v>
      </c>
      <c r="G64">
        <v>1813.01</v>
      </c>
      <c r="H64">
        <v>1752.64</v>
      </c>
      <c r="I64">
        <v>3089.91</v>
      </c>
      <c r="J64">
        <v>2208.1999999999998</v>
      </c>
      <c r="K64">
        <v>1769.07</v>
      </c>
    </row>
    <row r="65" spans="1:11" x14ac:dyDescent="0.35">
      <c r="A65" s="4" t="s">
        <v>16</v>
      </c>
      <c r="B65">
        <v>2983.38</v>
      </c>
      <c r="C65">
        <v>3312.01</v>
      </c>
      <c r="D65">
        <v>3866.4</v>
      </c>
      <c r="E65">
        <v>4383.93</v>
      </c>
      <c r="F65">
        <v>4496</v>
      </c>
      <c r="G65">
        <v>5086.7</v>
      </c>
      <c r="H65">
        <v>5661.68</v>
      </c>
      <c r="I65">
        <v>5316.35</v>
      </c>
      <c r="J65">
        <v>6754.47</v>
      </c>
      <c r="K65">
        <v>9404.39</v>
      </c>
    </row>
    <row r="66" spans="1:11" s="3" customFormat="1" x14ac:dyDescent="0.35">
      <c r="A66" s="3" t="s">
        <v>15</v>
      </c>
      <c r="B66">
        <v>7301.25</v>
      </c>
      <c r="C66">
        <v>6980.37</v>
      </c>
      <c r="D66">
        <v>7368.27</v>
      </c>
      <c r="E66">
        <v>8739.77</v>
      </c>
      <c r="F66">
        <v>9364.66</v>
      </c>
      <c r="G66">
        <v>10684.32</v>
      </c>
      <c r="H66">
        <v>11506.5</v>
      </c>
      <c r="I66">
        <v>14000.33</v>
      </c>
      <c r="J66">
        <v>14744.33</v>
      </c>
      <c r="K66">
        <v>17608.98</v>
      </c>
    </row>
    <row r="67" spans="1:11" s="4" customFormat="1" x14ac:dyDescent="0.35">
      <c r="A67" s="4" t="s">
        <v>14</v>
      </c>
      <c r="B67">
        <v>627.87</v>
      </c>
      <c r="C67">
        <v>811.63</v>
      </c>
      <c r="D67">
        <v>955.37</v>
      </c>
      <c r="E67">
        <v>835.25</v>
      </c>
      <c r="F67">
        <v>929.48</v>
      </c>
      <c r="G67">
        <v>2226.94</v>
      </c>
      <c r="H67">
        <v>2520.63</v>
      </c>
      <c r="I67">
        <v>2425.56</v>
      </c>
      <c r="J67">
        <v>2840.73</v>
      </c>
      <c r="K67">
        <v>4192.72</v>
      </c>
    </row>
    <row r="68" spans="1:11" x14ac:dyDescent="0.35">
      <c r="A68" s="4" t="s">
        <v>13</v>
      </c>
      <c r="B68"/>
      <c r="C68"/>
      <c r="D68"/>
      <c r="E68"/>
      <c r="F68"/>
      <c r="G68"/>
      <c r="H68"/>
      <c r="I68"/>
      <c r="J68"/>
      <c r="K68"/>
    </row>
    <row r="69" spans="1:11" x14ac:dyDescent="0.35">
      <c r="A69" s="1" t="s">
        <v>12</v>
      </c>
      <c r="B69">
        <v>614.41</v>
      </c>
      <c r="C69">
        <v>706.72</v>
      </c>
      <c r="D69">
        <v>641.61</v>
      </c>
      <c r="E69">
        <v>1125.7</v>
      </c>
      <c r="F69">
        <v>1062.24</v>
      </c>
      <c r="G69">
        <v>949.44</v>
      </c>
      <c r="H69">
        <v>1053.44</v>
      </c>
      <c r="I69">
        <v>814.37</v>
      </c>
      <c r="J69">
        <v>1612.58</v>
      </c>
      <c r="K69">
        <v>1752.71</v>
      </c>
    </row>
    <row r="70" spans="1:11" x14ac:dyDescent="0.35">
      <c r="A70" s="1" t="s">
        <v>11</v>
      </c>
      <c r="B70">
        <v>210424080</v>
      </c>
      <c r="C70">
        <v>193267182</v>
      </c>
      <c r="D70">
        <v>186226039</v>
      </c>
      <c r="E70">
        <v>186605807</v>
      </c>
      <c r="F70">
        <v>187112033</v>
      </c>
      <c r="G70">
        <v>187817716</v>
      </c>
      <c r="H70">
        <v>188400043</v>
      </c>
      <c r="I70">
        <v>188997999</v>
      </c>
      <c r="J70">
        <v>190076841</v>
      </c>
      <c r="K70">
        <v>190819570</v>
      </c>
    </row>
    <row r="71" spans="1:11" x14ac:dyDescent="0.35">
      <c r="A71" s="1" t="s">
        <v>10</v>
      </c>
      <c r="D71">
        <v>700</v>
      </c>
      <c r="E71">
        <v>700</v>
      </c>
      <c r="F71">
        <v>700</v>
      </c>
    </row>
    <row r="72" spans="1:11" x14ac:dyDescent="0.35">
      <c r="A72" s="1" t="s">
        <v>9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3" t="s">
        <v>8</v>
      </c>
    </row>
    <row r="81" spans="1:11" s="5" customFormat="1" x14ac:dyDescent="0.35">
      <c r="A81" s="7" t="s">
        <v>7</v>
      </c>
      <c r="B81" s="6">
        <v>42825</v>
      </c>
      <c r="C81" s="6">
        <v>43190</v>
      </c>
      <c r="D81" s="6">
        <v>43555</v>
      </c>
      <c r="E81" s="6">
        <v>43921</v>
      </c>
      <c r="F81" s="6">
        <v>44286</v>
      </c>
      <c r="G81" s="6">
        <v>44651</v>
      </c>
      <c r="H81" s="6">
        <v>45016</v>
      </c>
      <c r="I81" s="6">
        <v>45382</v>
      </c>
      <c r="J81" s="6">
        <v>45747</v>
      </c>
      <c r="K81" s="6">
        <v>46112</v>
      </c>
    </row>
    <row r="82" spans="1:11" s="3" customFormat="1" x14ac:dyDescent="0.35">
      <c r="A82" s="4" t="s">
        <v>6</v>
      </c>
      <c r="B82">
        <v>664.11</v>
      </c>
      <c r="C82">
        <v>723.32</v>
      </c>
      <c r="D82">
        <v>949.72</v>
      </c>
      <c r="E82">
        <v>1321.02</v>
      </c>
      <c r="F82">
        <v>1454.53</v>
      </c>
      <c r="G82">
        <v>1715.73</v>
      </c>
      <c r="H82">
        <v>1461.77</v>
      </c>
      <c r="I82">
        <v>2179.6999999999998</v>
      </c>
      <c r="J82">
        <v>1905.2</v>
      </c>
      <c r="K82">
        <v>1253.28</v>
      </c>
    </row>
    <row r="83" spans="1:11" s="4" customFormat="1" x14ac:dyDescent="0.35">
      <c r="A83" s="4" t="s">
        <v>5</v>
      </c>
      <c r="B83">
        <v>266.58</v>
      </c>
      <c r="C83">
        <v>507.34</v>
      </c>
      <c r="D83">
        <v>279.85000000000002</v>
      </c>
      <c r="E83">
        <v>141.69</v>
      </c>
      <c r="F83">
        <v>-809.92</v>
      </c>
      <c r="G83">
        <v>-271.35000000000002</v>
      </c>
      <c r="H83">
        <v>195.68</v>
      </c>
      <c r="I83">
        <v>-2495.9699999999998</v>
      </c>
      <c r="J83">
        <v>31.94</v>
      </c>
      <c r="K83">
        <v>-173.46</v>
      </c>
    </row>
    <row r="84" spans="1:11" s="4" customFormat="1" x14ac:dyDescent="0.35">
      <c r="A84" s="4" t="s">
        <v>4</v>
      </c>
      <c r="B84">
        <v>-710.02</v>
      </c>
      <c r="C84">
        <v>-1379.74</v>
      </c>
      <c r="D84">
        <v>-1341.77</v>
      </c>
      <c r="E84">
        <v>-824.72</v>
      </c>
      <c r="F84">
        <v>-861.47</v>
      </c>
      <c r="G84">
        <v>-1388.68</v>
      </c>
      <c r="H84">
        <v>-1440.18</v>
      </c>
      <c r="I84">
        <v>77.08</v>
      </c>
      <c r="J84">
        <v>-1755.71</v>
      </c>
      <c r="K84">
        <v>-943.25</v>
      </c>
    </row>
    <row r="85" spans="1:11" s="3" customFormat="1" x14ac:dyDescent="0.35">
      <c r="A85" s="4" t="s">
        <v>3</v>
      </c>
      <c r="B85">
        <v>220.66</v>
      </c>
      <c r="C85">
        <v>-149.09</v>
      </c>
      <c r="D85">
        <v>-112.2</v>
      </c>
      <c r="E85">
        <v>638</v>
      </c>
      <c r="F85">
        <v>-216.86</v>
      </c>
      <c r="G85">
        <v>55.7</v>
      </c>
      <c r="H85">
        <v>217.27</v>
      </c>
      <c r="I85">
        <v>-239.2</v>
      </c>
      <c r="J85">
        <v>181.43</v>
      </c>
      <c r="K85">
        <v>136.58000000000001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3" customFormat="1" x14ac:dyDescent="0.35">
      <c r="A90" s="3" t="s">
        <v>2</v>
      </c>
      <c r="B90">
        <v>579.9</v>
      </c>
      <c r="C90">
        <v>837.75</v>
      </c>
      <c r="D90">
        <v>991.1</v>
      </c>
      <c r="E90">
        <v>664.45</v>
      </c>
      <c r="F90">
        <v>1776.5</v>
      </c>
      <c r="G90">
        <v>3376.85</v>
      </c>
      <c r="H90">
        <v>1795.75</v>
      </c>
      <c r="I90">
        <v>2388.0500000000002</v>
      </c>
      <c r="J90">
        <v>2500.1999999999998</v>
      </c>
      <c r="K90">
        <v>2053</v>
      </c>
    </row>
    <row r="92" spans="1:11" s="3" customFormat="1" x14ac:dyDescent="0.35">
      <c r="A92" s="3" t="s">
        <v>1</v>
      </c>
    </row>
    <row r="93" spans="1:11" x14ac:dyDescent="0.35">
      <c r="A93" s="1" t="s">
        <v>0</v>
      </c>
      <c r="B93" s="2">
        <v>21.04</v>
      </c>
      <c r="C93" s="2">
        <v>19.329999999999998</v>
      </c>
      <c r="D93" s="2">
        <v>18.62</v>
      </c>
      <c r="E93" s="2">
        <v>18.649999999999999</v>
      </c>
      <c r="F93" s="2">
        <v>18.7</v>
      </c>
      <c r="G93" s="2">
        <v>18.78</v>
      </c>
      <c r="H93" s="2">
        <v>18.84</v>
      </c>
      <c r="I93" s="2">
        <v>18.899999999999999</v>
      </c>
      <c r="J93" s="2">
        <v>19.010000000000002</v>
      </c>
      <c r="K93" s="2">
        <v>19.079999999999998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B32"/>
  <sheetViews>
    <sheetView zoomScale="89" workbookViewId="0">
      <selection activeCell="B42" sqref="B42"/>
    </sheetView>
  </sheetViews>
  <sheetFormatPr defaultRowHeight="14.5" x14ac:dyDescent="0.35"/>
  <cols>
    <col min="2" max="2" width="25.81640625" bestFit="1" customWidth="1"/>
  </cols>
  <sheetData>
    <row r="2" spans="2:28" x14ac:dyDescent="0.35">
      <c r="C2" s="14">
        <v>42430</v>
      </c>
      <c r="D2" s="14">
        <v>42795</v>
      </c>
      <c r="E2" s="14">
        <v>43160</v>
      </c>
      <c r="F2" s="14">
        <v>43525</v>
      </c>
      <c r="G2" s="14">
        <v>43891</v>
      </c>
      <c r="H2" s="14">
        <v>44256</v>
      </c>
      <c r="I2" s="14">
        <v>44621</v>
      </c>
      <c r="J2" s="14">
        <v>44986</v>
      </c>
      <c r="K2" s="14">
        <v>45352</v>
      </c>
      <c r="L2" s="14">
        <v>45717</v>
      </c>
    </row>
    <row r="3" spans="2:28" x14ac:dyDescent="0.35">
      <c r="B3" t="s">
        <v>106</v>
      </c>
      <c r="C3" s="15">
        <v>37900</v>
      </c>
      <c r="D3" s="15">
        <v>30199</v>
      </c>
      <c r="E3" s="15">
        <v>23857</v>
      </c>
      <c r="F3" s="15">
        <v>18891</v>
      </c>
      <c r="G3" s="15">
        <v>26633</v>
      </c>
      <c r="H3" s="15">
        <v>29001</v>
      </c>
      <c r="I3" s="15">
        <v>14283</v>
      </c>
      <c r="J3" s="15">
        <v>35388</v>
      </c>
      <c r="K3" s="15">
        <v>67915</v>
      </c>
      <c r="L3" s="15">
        <v>63102</v>
      </c>
    </row>
    <row r="4" spans="2:28" x14ac:dyDescent="0.35">
      <c r="B4" t="s">
        <v>82</v>
      </c>
      <c r="C4" s="15">
        <v>38626</v>
      </c>
      <c r="D4" s="15">
        <v>28840</v>
      </c>
      <c r="E4" s="15">
        <v>33312</v>
      </c>
      <c r="F4" s="15">
        <v>28771</v>
      </c>
      <c r="G4" s="15">
        <v>23352</v>
      </c>
      <c r="H4" s="15">
        <v>31198</v>
      </c>
      <c r="I4" s="15">
        <v>26943</v>
      </c>
      <c r="J4" s="15">
        <v>41694</v>
      </c>
      <c r="K4" s="15">
        <v>65106</v>
      </c>
      <c r="L4" s="15">
        <v>58937</v>
      </c>
    </row>
    <row r="5" spans="2:28" x14ac:dyDescent="0.35">
      <c r="B5" t="s">
        <v>14</v>
      </c>
      <c r="C5" s="15">
        <v>-2223</v>
      </c>
      <c r="D5" s="15">
        <v>-4152</v>
      </c>
      <c r="E5" s="15">
        <v>-10688</v>
      </c>
      <c r="F5" s="15">
        <v>-9109</v>
      </c>
      <c r="G5" s="15">
        <v>9950</v>
      </c>
      <c r="H5" s="15">
        <v>-5505</v>
      </c>
      <c r="I5">
        <v>185</v>
      </c>
      <c r="J5" s="15">
        <v>-2213</v>
      </c>
      <c r="K5" s="15">
        <v>-1876</v>
      </c>
      <c r="L5" s="15">
        <v>3573</v>
      </c>
      <c r="P5" s="15"/>
      <c r="Q5" s="15"/>
    </row>
    <row r="6" spans="2:28" x14ac:dyDescent="0.35">
      <c r="B6" t="s">
        <v>13</v>
      </c>
      <c r="C6" s="15">
        <v>-5743</v>
      </c>
      <c r="D6" s="15">
        <v>-6621</v>
      </c>
      <c r="E6" s="15">
        <v>-3560</v>
      </c>
      <c r="F6" s="15">
        <v>2069</v>
      </c>
      <c r="G6" s="15">
        <v>2326</v>
      </c>
      <c r="H6" s="15">
        <v>3814</v>
      </c>
      <c r="I6">
        <v>472</v>
      </c>
      <c r="J6" s="15">
        <v>-5665</v>
      </c>
      <c r="K6" s="15">
        <v>-7265</v>
      </c>
      <c r="L6" s="15">
        <v>2127</v>
      </c>
      <c r="Q6" s="15"/>
      <c r="R6" s="15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2:28" x14ac:dyDescent="0.35">
      <c r="B7" t="s">
        <v>83</v>
      </c>
      <c r="C7" s="15">
        <v>3947</v>
      </c>
      <c r="D7" s="15">
        <v>9301</v>
      </c>
      <c r="E7" s="15">
        <v>7320</v>
      </c>
      <c r="F7" s="15">
        <v>-4692</v>
      </c>
      <c r="G7" s="15">
        <v>-8085</v>
      </c>
      <c r="H7" s="15">
        <v>5748</v>
      </c>
      <c r="I7" s="15">
        <v>-7012</v>
      </c>
      <c r="J7" s="15">
        <v>6945</v>
      </c>
      <c r="K7" s="15">
        <v>13706</v>
      </c>
      <c r="L7" s="15">
        <v>1303</v>
      </c>
    </row>
    <row r="8" spans="2:28" x14ac:dyDescent="0.35">
      <c r="B8" t="s">
        <v>84</v>
      </c>
      <c r="C8">
        <v>-520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28" x14ac:dyDescent="0.35">
      <c r="B9" t="s">
        <v>85</v>
      </c>
      <c r="C9" s="15">
        <v>5852</v>
      </c>
      <c r="D9" s="15">
        <v>4727</v>
      </c>
      <c r="E9">
        <v>494</v>
      </c>
      <c r="F9" s="15">
        <v>4512</v>
      </c>
      <c r="G9">
        <v>875</v>
      </c>
      <c r="H9" s="15">
        <v>-4150</v>
      </c>
      <c r="I9" s="15">
        <v>-4396</v>
      </c>
      <c r="J9" s="15">
        <v>-2194</v>
      </c>
      <c r="K9" s="15">
        <v>2760</v>
      </c>
      <c r="L9" s="15">
        <v>1153</v>
      </c>
    </row>
    <row r="10" spans="2:28" x14ac:dyDescent="0.35">
      <c r="B10" t="s">
        <v>86</v>
      </c>
      <c r="C10" s="15">
        <v>-2040</v>
      </c>
      <c r="D10" s="15">
        <v>-1895</v>
      </c>
      <c r="E10" s="15">
        <v>-3021</v>
      </c>
      <c r="F10" s="15">
        <v>-2659</v>
      </c>
      <c r="G10" s="15">
        <v>-1785</v>
      </c>
      <c r="H10" s="15">
        <v>-2105</v>
      </c>
      <c r="I10" s="15">
        <v>-1910</v>
      </c>
      <c r="J10" s="15">
        <v>-3179</v>
      </c>
      <c r="K10" s="15">
        <v>-4516</v>
      </c>
      <c r="L10" s="15">
        <v>-3991</v>
      </c>
      <c r="Q10" s="15"/>
    </row>
    <row r="11" spans="2:28" x14ac:dyDescent="0.35">
      <c r="B11" t="s">
        <v>107</v>
      </c>
      <c r="C11" s="15">
        <v>-36694</v>
      </c>
      <c r="D11" s="15">
        <v>-39571</v>
      </c>
      <c r="E11" s="15">
        <v>-25139</v>
      </c>
      <c r="F11" s="15">
        <v>-20878</v>
      </c>
      <c r="G11" s="15">
        <v>-33115</v>
      </c>
      <c r="H11" s="15">
        <v>-25672</v>
      </c>
      <c r="I11" s="15">
        <v>-4444</v>
      </c>
      <c r="J11" s="15">
        <v>-15417</v>
      </c>
      <c r="K11" s="15">
        <v>-22781</v>
      </c>
      <c r="L11" s="15">
        <v>-49982</v>
      </c>
    </row>
    <row r="12" spans="2:28" x14ac:dyDescent="0.35">
      <c r="B12" t="s">
        <v>87</v>
      </c>
      <c r="C12" s="15">
        <v>-31503</v>
      </c>
      <c r="D12" s="15">
        <v>-16072</v>
      </c>
      <c r="E12" s="15">
        <v>-35079</v>
      </c>
      <c r="F12" s="15">
        <v>-35304</v>
      </c>
      <c r="G12" s="15">
        <v>-29702</v>
      </c>
      <c r="H12" s="15">
        <v>-20205</v>
      </c>
      <c r="I12" s="15">
        <v>-15168</v>
      </c>
      <c r="J12" s="15">
        <v>-19230</v>
      </c>
      <c r="K12" s="15">
        <v>-31414</v>
      </c>
      <c r="L12" s="15">
        <v>-38042</v>
      </c>
    </row>
    <row r="13" spans="2:28" x14ac:dyDescent="0.35">
      <c r="B13" t="s">
        <v>88</v>
      </c>
      <c r="C13">
        <v>59</v>
      </c>
      <c r="D13">
        <v>53</v>
      </c>
      <c r="E13">
        <v>30</v>
      </c>
      <c r="F13">
        <v>67</v>
      </c>
      <c r="G13">
        <v>171</v>
      </c>
      <c r="H13">
        <v>351</v>
      </c>
      <c r="I13">
        <v>230</v>
      </c>
      <c r="J13">
        <v>285</v>
      </c>
      <c r="K13">
        <v>231</v>
      </c>
      <c r="L13">
        <v>974</v>
      </c>
    </row>
    <row r="14" spans="2:28" x14ac:dyDescent="0.35">
      <c r="B14" t="s">
        <v>89</v>
      </c>
      <c r="C14" s="15">
        <v>-4728</v>
      </c>
      <c r="D14">
        <v>-6</v>
      </c>
      <c r="E14">
        <v>-329</v>
      </c>
      <c r="F14">
        <v>-130</v>
      </c>
      <c r="G14" s="15">
        <v>-1439</v>
      </c>
      <c r="H14" s="15">
        <v>-7530</v>
      </c>
      <c r="I14" s="15">
        <v>-3008</v>
      </c>
      <c r="J14">
        <v>-50</v>
      </c>
      <c r="K14">
        <v>-74</v>
      </c>
      <c r="L14" s="15">
        <v>-12677</v>
      </c>
      <c r="S14" s="15"/>
      <c r="T14" s="15"/>
      <c r="U14" s="15"/>
      <c r="V14" s="15"/>
      <c r="W14" s="15"/>
      <c r="Y14" s="15"/>
      <c r="Z14" s="15"/>
      <c r="AA14" s="15"/>
      <c r="AB14" s="15"/>
    </row>
    <row r="15" spans="2:28" x14ac:dyDescent="0.35">
      <c r="B15" t="s">
        <v>90</v>
      </c>
      <c r="C15">
        <v>89</v>
      </c>
      <c r="D15" s="15">
        <v>1965</v>
      </c>
      <c r="E15" s="15">
        <v>2381</v>
      </c>
      <c r="F15" s="15">
        <v>5644</v>
      </c>
      <c r="G15">
        <v>21</v>
      </c>
      <c r="H15">
        <v>226</v>
      </c>
      <c r="I15">
        <v>104</v>
      </c>
      <c r="J15" s="15">
        <v>6895</v>
      </c>
      <c r="K15" s="15">
        <v>10821</v>
      </c>
      <c r="L15">
        <v>111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2:28" x14ac:dyDescent="0.35">
      <c r="B16" t="s">
        <v>91</v>
      </c>
      <c r="C16">
        <v>731</v>
      </c>
      <c r="D16">
        <v>638</v>
      </c>
      <c r="E16">
        <v>690</v>
      </c>
      <c r="F16">
        <v>761</v>
      </c>
      <c r="G16" s="15">
        <v>1104</v>
      </c>
      <c r="H16">
        <v>428</v>
      </c>
      <c r="I16">
        <v>653</v>
      </c>
      <c r="J16">
        <v>973</v>
      </c>
      <c r="K16" s="15">
        <v>2493</v>
      </c>
      <c r="L16" s="15">
        <v>2420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2:28" x14ac:dyDescent="0.35">
      <c r="B17" t="s">
        <v>92</v>
      </c>
      <c r="C17">
        <v>58</v>
      </c>
      <c r="D17">
        <v>620</v>
      </c>
      <c r="E17" s="15">
        <v>1797</v>
      </c>
      <c r="F17">
        <v>232</v>
      </c>
      <c r="G17">
        <v>21</v>
      </c>
      <c r="H17">
        <v>18</v>
      </c>
      <c r="I17">
        <v>32</v>
      </c>
      <c r="J17">
        <v>46</v>
      </c>
      <c r="K17">
        <v>47</v>
      </c>
      <c r="L17">
        <v>64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2:28" x14ac:dyDescent="0.35">
      <c r="B18" t="s">
        <v>93</v>
      </c>
      <c r="C18">
        <v>0</v>
      </c>
      <c r="D18">
        <v>-107</v>
      </c>
      <c r="E18">
        <v>-4</v>
      </c>
      <c r="F18">
        <v>-9</v>
      </c>
      <c r="G18">
        <v>-606</v>
      </c>
      <c r="H18">
        <v>-10</v>
      </c>
      <c r="I18">
        <v>0</v>
      </c>
      <c r="J18">
        <v>0</v>
      </c>
      <c r="K18">
        <v>-150</v>
      </c>
      <c r="L18">
        <v>0</v>
      </c>
      <c r="S18" s="15"/>
      <c r="T18" s="15"/>
      <c r="V18" s="15"/>
      <c r="W18" s="15"/>
      <c r="X18" s="15"/>
      <c r="Y18" s="15"/>
      <c r="Z18" s="15"/>
      <c r="AA18" s="15"/>
      <c r="AB18" s="15"/>
    </row>
    <row r="19" spans="2:28" x14ac:dyDescent="0.35">
      <c r="B19" t="s">
        <v>94</v>
      </c>
      <c r="C19">
        <v>0</v>
      </c>
      <c r="D19">
        <v>0</v>
      </c>
      <c r="E19">
        <v>14</v>
      </c>
      <c r="F19">
        <v>533</v>
      </c>
      <c r="G19">
        <v>0</v>
      </c>
      <c r="H19">
        <v>0</v>
      </c>
      <c r="I19">
        <v>0</v>
      </c>
      <c r="J19">
        <v>19</v>
      </c>
      <c r="K19">
        <v>107</v>
      </c>
      <c r="L19">
        <v>765</v>
      </c>
    </row>
    <row r="20" spans="2:28" x14ac:dyDescent="0.35">
      <c r="B20" t="s">
        <v>95</v>
      </c>
      <c r="C20">
        <v>-111</v>
      </c>
      <c r="D20">
        <v>0</v>
      </c>
      <c r="E20">
        <v>0</v>
      </c>
      <c r="F20">
        <v>-8</v>
      </c>
      <c r="G20">
        <v>-27</v>
      </c>
      <c r="H20">
        <v>0</v>
      </c>
      <c r="I20">
        <v>-98</v>
      </c>
      <c r="J20">
        <v>0</v>
      </c>
      <c r="K20">
        <v>0</v>
      </c>
      <c r="L20">
        <v>-688</v>
      </c>
    </row>
    <row r="21" spans="2:28" x14ac:dyDescent="0.35">
      <c r="B21" t="s">
        <v>96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-25</v>
      </c>
      <c r="L21">
        <v>-20</v>
      </c>
    </row>
    <row r="22" spans="2:28" x14ac:dyDescent="0.35">
      <c r="B22" t="s">
        <v>97</v>
      </c>
      <c r="C22" s="15">
        <v>-1289</v>
      </c>
      <c r="D22" s="15">
        <v>-26663</v>
      </c>
      <c r="E22" s="15">
        <v>5360</v>
      </c>
      <c r="F22" s="15">
        <v>7335</v>
      </c>
      <c r="G22" s="15">
        <v>-2659</v>
      </c>
      <c r="H22" s="15">
        <v>1051</v>
      </c>
      <c r="I22" s="15">
        <v>12813</v>
      </c>
      <c r="J22" s="15">
        <v>-4357</v>
      </c>
      <c r="K22" s="15">
        <v>-4817</v>
      </c>
      <c r="L22" s="15">
        <v>-2889</v>
      </c>
    </row>
    <row r="23" spans="2:28" x14ac:dyDescent="0.35">
      <c r="B23" t="s">
        <v>108</v>
      </c>
      <c r="C23" s="15">
        <v>-3795</v>
      </c>
      <c r="D23" s="15">
        <v>6205</v>
      </c>
      <c r="E23" s="15">
        <v>2012</v>
      </c>
      <c r="F23" s="15">
        <v>8830</v>
      </c>
      <c r="G23" s="15">
        <v>3390</v>
      </c>
      <c r="H23" s="15">
        <v>9904</v>
      </c>
      <c r="I23" s="15">
        <v>-3380</v>
      </c>
      <c r="J23" s="15">
        <v>-26243</v>
      </c>
      <c r="K23" s="15">
        <v>-37006</v>
      </c>
      <c r="L23" s="15">
        <v>-18786</v>
      </c>
    </row>
    <row r="24" spans="2:28" x14ac:dyDescent="0.35">
      <c r="B24" t="s">
        <v>98</v>
      </c>
      <c r="C24" s="15">
        <v>7433</v>
      </c>
      <c r="D24">
        <v>5</v>
      </c>
      <c r="E24">
        <v>0</v>
      </c>
      <c r="F24">
        <v>0</v>
      </c>
      <c r="G24" s="15">
        <v>3889</v>
      </c>
      <c r="H24" s="15">
        <v>2603</v>
      </c>
      <c r="I24">
        <v>19</v>
      </c>
      <c r="J24">
        <v>20</v>
      </c>
      <c r="K24">
        <v>82</v>
      </c>
      <c r="L24" s="15">
        <v>1108</v>
      </c>
    </row>
    <row r="25" spans="2:28" x14ac:dyDescent="0.35">
      <c r="B25" t="s">
        <v>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2:28" x14ac:dyDescent="0.35">
      <c r="B26" t="s">
        <v>100</v>
      </c>
      <c r="C26" s="15">
        <v>19519</v>
      </c>
      <c r="D26" s="15">
        <v>33390</v>
      </c>
      <c r="E26" s="15">
        <v>37482</v>
      </c>
      <c r="F26" s="15">
        <v>51128</v>
      </c>
      <c r="G26" s="15">
        <v>38297</v>
      </c>
      <c r="H26" s="15">
        <v>46641</v>
      </c>
      <c r="I26" s="15">
        <v>46578</v>
      </c>
      <c r="J26" s="15">
        <v>43934</v>
      </c>
      <c r="K26" s="15">
        <v>18829</v>
      </c>
      <c r="L26" s="15">
        <v>13384</v>
      </c>
    </row>
    <row r="27" spans="2:28" x14ac:dyDescent="0.35">
      <c r="B27" t="s">
        <v>101</v>
      </c>
      <c r="C27" s="15">
        <v>-24924</v>
      </c>
      <c r="D27" s="15">
        <v>-21732</v>
      </c>
      <c r="E27" s="15">
        <v>-29964</v>
      </c>
      <c r="F27" s="15">
        <v>-35198</v>
      </c>
      <c r="G27" s="15">
        <v>-29847</v>
      </c>
      <c r="H27" s="15">
        <v>-29709</v>
      </c>
      <c r="I27" s="15">
        <v>-42816</v>
      </c>
      <c r="J27" s="15">
        <v>-62557</v>
      </c>
      <c r="K27" s="15">
        <v>-47414</v>
      </c>
      <c r="L27" s="15">
        <v>-21443</v>
      </c>
    </row>
    <row r="28" spans="2:28" x14ac:dyDescent="0.35">
      <c r="B28" t="s">
        <v>102</v>
      </c>
      <c r="C28" s="15">
        <v>-5716</v>
      </c>
      <c r="D28" s="15">
        <v>-5336</v>
      </c>
      <c r="E28" s="15">
        <v>-5411</v>
      </c>
      <c r="F28" s="15">
        <v>-7005</v>
      </c>
      <c r="G28" s="15">
        <v>-7518</v>
      </c>
      <c r="H28" s="15">
        <v>-8123</v>
      </c>
      <c r="I28" s="15">
        <v>-9251</v>
      </c>
      <c r="J28" s="15">
        <v>-9336</v>
      </c>
      <c r="K28" s="15">
        <v>-9332</v>
      </c>
      <c r="L28" s="15">
        <v>-5814</v>
      </c>
    </row>
    <row r="29" spans="2:28" x14ac:dyDescent="0.35">
      <c r="B29" t="s">
        <v>103</v>
      </c>
      <c r="C29">
        <v>-108</v>
      </c>
      <c r="D29">
        <v>-121</v>
      </c>
      <c r="E29">
        <v>-96</v>
      </c>
      <c r="F29">
        <v>-95</v>
      </c>
      <c r="G29">
        <v>-57</v>
      </c>
      <c r="H29">
        <v>-30</v>
      </c>
      <c r="I29">
        <v>-100</v>
      </c>
      <c r="J29">
        <v>-141</v>
      </c>
      <c r="K29" s="15">
        <v>-1059</v>
      </c>
      <c r="L29" s="15">
        <v>-2492</v>
      </c>
    </row>
    <row r="30" spans="2:28" x14ac:dyDescent="0.35">
      <c r="B30" t="s">
        <v>104</v>
      </c>
      <c r="C30">
        <v>0</v>
      </c>
      <c r="D30">
        <v>0</v>
      </c>
      <c r="E30">
        <v>0</v>
      </c>
      <c r="F30">
        <v>0</v>
      </c>
      <c r="G30" s="15">
        <v>-1346</v>
      </c>
      <c r="H30" s="15">
        <v>-1477</v>
      </c>
      <c r="I30" s="15">
        <v>-1559</v>
      </c>
      <c r="J30" s="15">
        <v>-1517</v>
      </c>
      <c r="K30" s="15">
        <v>-1924</v>
      </c>
      <c r="L30" s="15">
        <v>-2393</v>
      </c>
    </row>
    <row r="31" spans="2:28" x14ac:dyDescent="0.35">
      <c r="B31" t="s">
        <v>105</v>
      </c>
      <c r="C31">
        <v>0</v>
      </c>
      <c r="D31">
        <v>0</v>
      </c>
      <c r="E31">
        <v>0</v>
      </c>
      <c r="F31">
        <v>0</v>
      </c>
      <c r="G31">
        <v>-29</v>
      </c>
      <c r="H31">
        <v>0</v>
      </c>
      <c r="I31" s="15">
        <v>3750</v>
      </c>
      <c r="J31" s="15">
        <v>3355</v>
      </c>
      <c r="K31" s="15">
        <v>3812</v>
      </c>
      <c r="L31" s="15">
        <v>-1136</v>
      </c>
    </row>
    <row r="32" spans="2:28" x14ac:dyDescent="0.35">
      <c r="B32" t="s">
        <v>3</v>
      </c>
      <c r="C32" s="15">
        <v>-2589</v>
      </c>
      <c r="D32" s="15">
        <v>-3167</v>
      </c>
      <c r="E32">
        <v>730</v>
      </c>
      <c r="F32" s="15">
        <v>6843</v>
      </c>
      <c r="G32" s="15">
        <v>-3092</v>
      </c>
      <c r="H32" s="15">
        <v>13232</v>
      </c>
      <c r="I32" s="15">
        <v>6459</v>
      </c>
      <c r="J32" s="15">
        <v>-6272</v>
      </c>
      <c r="K32" s="15">
        <v>8128</v>
      </c>
      <c r="L32" s="15">
        <v>-5666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Financials&gt;</vt:lpstr>
      <vt:lpstr>HistoricalFS</vt:lpstr>
      <vt:lpstr>Ratio Analysis</vt:lpstr>
      <vt:lpstr>Foreacasting</vt:lpstr>
      <vt:lpstr>Data&gt;</vt:lpstr>
      <vt:lpstr>Data Sheet</vt:lpstr>
      <vt:lpstr>Cash Flow statement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2026-09-08T06:47:49Z</dcterms:modified>
</cp:coreProperties>
</file>