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ad465b0b741610/Desktop/Altaf Folder/All about Finance and Learning/Financial Modelling ^0 Analysis/"/>
    </mc:Choice>
  </mc:AlternateContent>
  <xr:revisionPtr revIDLastSave="148" documentId="13_ncr:1_{41D55EAA-CCCE-4201-94A5-A18BBBAB9C5D}" xr6:coauthVersionLast="47" xr6:coauthVersionMax="47" xr10:uidLastSave="{1BD56C99-1ACF-441F-A0E3-2BE241C08C2D}"/>
  <bookViews>
    <workbookView xWindow="-108" yWindow="-108" windowWidth="23256" windowHeight="12576" xr2:uid="{00000000-000D-0000-FFFF-FFFF00000000}"/>
  </bookViews>
  <sheets>
    <sheet name="DCF Model" sheetId="1" r:id="rId1"/>
    <sheet name="Comps" sheetId="5" r:id="rId2"/>
    <sheet name="Data Sheet" sheetId="4" r:id="rId3"/>
  </sheets>
  <externalReferences>
    <externalReference r:id="rId4"/>
  </externalReferences>
  <definedNames>
    <definedName name="Taper_rate">'DCF Model'!$C$21</definedName>
    <definedName name="Tax_rate">'DCF Model'!$C$27:$C$27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7" i="1" l="1"/>
  <c r="D157" i="1"/>
  <c r="E157" i="1"/>
  <c r="C111" i="1" a="1"/>
  <c r="C111" i="1" s="1"/>
  <c r="G16" i="5"/>
  <c r="D16" i="5"/>
  <c r="F85" i="1"/>
  <c r="B161" i="1" l="1"/>
  <c r="B162" i="1" s="1"/>
  <c r="B159" i="1"/>
  <c r="B158" i="1" s="1"/>
  <c r="E19" i="5"/>
  <c r="E18" i="5"/>
  <c r="E17" i="5"/>
  <c r="E16" i="5"/>
  <c r="G157" i="1"/>
  <c r="H157" i="1" s="1"/>
  <c r="C149" i="1"/>
  <c r="C147" i="1"/>
  <c r="C118" i="1"/>
  <c r="C109" i="1"/>
  <c r="C26" i="1"/>
  <c r="C110" i="1" s="1"/>
  <c r="C106" i="1" a="1"/>
  <c r="C106" i="1" s="1"/>
  <c r="C107" i="1" s="1"/>
  <c r="C102" i="1"/>
  <c r="C146" i="1" s="1"/>
  <c r="C101" i="1"/>
  <c r="I16" i="5"/>
  <c r="I17" i="5"/>
  <c r="I18" i="5"/>
  <c r="I19" i="5"/>
  <c r="H19" i="5" a="1"/>
  <c r="H19" i="5" s="1"/>
  <c r="H18" i="5" a="1"/>
  <c r="H18" i="5" s="1"/>
  <c r="H17" i="5" a="1"/>
  <c r="H17" i="5" s="1"/>
  <c r="H16" i="5" a="1"/>
  <c r="H16" i="5" s="1"/>
  <c r="D19" i="5"/>
  <c r="D18" i="5"/>
  <c r="D17" i="5"/>
  <c r="J86" i="4"/>
  <c r="J87" i="4" s="1"/>
  <c r="I86" i="4"/>
  <c r="I87" i="4" s="1"/>
  <c r="H86" i="4"/>
  <c r="H87" i="4" s="1"/>
  <c r="C77" i="1"/>
  <c r="D76" i="1"/>
  <c r="C69" i="1"/>
  <c r="D69" i="1"/>
  <c r="E69" i="1"/>
  <c r="F69" i="1"/>
  <c r="G69" i="1"/>
  <c r="C68" i="1"/>
  <c r="D68" i="1"/>
  <c r="E68" i="1"/>
  <c r="F68" i="1"/>
  <c r="G68" i="1"/>
  <c r="G67" i="1"/>
  <c r="F67" i="1"/>
  <c r="E67" i="1"/>
  <c r="D67" i="1"/>
  <c r="C67" i="1"/>
  <c r="C66" i="1"/>
  <c r="D66" i="1"/>
  <c r="E66" i="1"/>
  <c r="F66" i="1"/>
  <c r="G66" i="1"/>
  <c r="C65" i="1"/>
  <c r="D65" i="1"/>
  <c r="E65" i="1"/>
  <c r="F65" i="1"/>
  <c r="G65" i="1"/>
  <c r="C64" i="1"/>
  <c r="D64" i="1"/>
  <c r="E64" i="1"/>
  <c r="F64" i="1"/>
  <c r="G64" i="1"/>
  <c r="C63" i="1"/>
  <c r="D63" i="1"/>
  <c r="E63" i="1"/>
  <c r="F63" i="1"/>
  <c r="G63" i="1"/>
  <c r="C61" i="1"/>
  <c r="D61" i="1"/>
  <c r="E61" i="1"/>
  <c r="F61" i="1"/>
  <c r="G61" i="1"/>
  <c r="C60" i="1"/>
  <c r="D60" i="1"/>
  <c r="E60" i="1"/>
  <c r="F60" i="1"/>
  <c r="G60" i="1"/>
  <c r="C59" i="1"/>
  <c r="D59" i="1"/>
  <c r="E59" i="1"/>
  <c r="F59" i="1"/>
  <c r="G59" i="1"/>
  <c r="G58" i="1"/>
  <c r="F58" i="1"/>
  <c r="E58" i="1"/>
  <c r="D58" i="1"/>
  <c r="C58" i="1"/>
  <c r="C51" i="1"/>
  <c r="D51" i="1"/>
  <c r="E51" i="1"/>
  <c r="F51" i="1"/>
  <c r="G51" i="1"/>
  <c r="C47" i="1"/>
  <c r="C48" i="1" s="1"/>
  <c r="D47" i="1"/>
  <c r="D48" i="1" s="1"/>
  <c r="E47" i="1"/>
  <c r="E48" i="1" s="1"/>
  <c r="F47" i="1"/>
  <c r="F48" i="1" s="1"/>
  <c r="G47" i="1"/>
  <c r="G48" i="1" s="1"/>
  <c r="G46" i="1"/>
  <c r="F46" i="1"/>
  <c r="E46" i="1"/>
  <c r="D46" i="1"/>
  <c r="C46" i="1"/>
  <c r="G42" i="1"/>
  <c r="F42" i="1"/>
  <c r="E42" i="1"/>
  <c r="D42" i="1"/>
  <c r="C42" i="1"/>
  <c r="G38" i="1"/>
  <c r="F38" i="1"/>
  <c r="E38" i="1"/>
  <c r="D38" i="1"/>
  <c r="C38" i="1"/>
  <c r="G34" i="1"/>
  <c r="F34" i="1"/>
  <c r="E34" i="1"/>
  <c r="D34" i="1"/>
  <c r="C34" i="1"/>
  <c r="C23" i="4"/>
  <c r="C32" i="1"/>
  <c r="G32" i="1"/>
  <c r="F32" i="1"/>
  <c r="E32" i="1"/>
  <c r="D32" i="1"/>
  <c r="C8" i="4"/>
  <c r="B6" i="4"/>
  <c r="B4" i="4"/>
  <c r="E1" i="4"/>
  <c r="D62" i="1" l="1"/>
  <c r="F70" i="1"/>
  <c r="C79" i="1"/>
  <c r="D79" i="1" s="1"/>
  <c r="E79" i="1" s="1"/>
  <c r="F79" i="1" s="1"/>
  <c r="G79" i="1" s="1"/>
  <c r="D77" i="1"/>
  <c r="E77" i="1" s="1"/>
  <c r="F77" i="1" s="1"/>
  <c r="G77" i="1" s="1"/>
  <c r="C78" i="1"/>
  <c r="F62" i="1"/>
  <c r="D70" i="1"/>
  <c r="E62" i="1"/>
  <c r="E70" i="1"/>
  <c r="C62" i="1"/>
  <c r="G62" i="1"/>
  <c r="G70" i="1"/>
  <c r="C70" i="1"/>
  <c r="I21" i="5"/>
  <c r="I20" i="5"/>
  <c r="H21" i="5"/>
  <c r="H20" i="5"/>
  <c r="C103" i="1"/>
  <c r="G19" i="5"/>
  <c r="F19" i="5"/>
  <c r="J19" i="5" s="1"/>
  <c r="G18" i="5"/>
  <c r="F18" i="5"/>
  <c r="J18" i="5" s="1"/>
  <c r="G17" i="5"/>
  <c r="F17" i="5"/>
  <c r="J17" i="5" s="1"/>
  <c r="F16" i="5"/>
  <c r="C43" i="1"/>
  <c r="D43" i="1"/>
  <c r="E43" i="1"/>
  <c r="F43" i="1"/>
  <c r="G43" i="1"/>
  <c r="D78" i="1"/>
  <c r="E78" i="1" s="1"/>
  <c r="H33" i="1"/>
  <c r="D36" i="1"/>
  <c r="D33" i="1"/>
  <c r="E36" i="1"/>
  <c r="E33" i="1"/>
  <c r="F36" i="1"/>
  <c r="F33" i="1"/>
  <c r="G36" i="1"/>
  <c r="G33" i="1"/>
  <c r="C36" i="1"/>
  <c r="C35" i="1"/>
  <c r="D35" i="1"/>
  <c r="E35" i="1"/>
  <c r="F35" i="1"/>
  <c r="G35" i="1"/>
  <c r="C39" i="1"/>
  <c r="D39" i="1"/>
  <c r="E39" i="1"/>
  <c r="F39" i="1"/>
  <c r="G39" i="1"/>
  <c r="C74" i="1" l="1" a="1"/>
  <c r="C74" i="1" s="1"/>
  <c r="C75" i="1" s="1"/>
  <c r="D75" i="1" s="1"/>
  <c r="E75" i="1" s="1"/>
  <c r="F75" i="1" s="1"/>
  <c r="G75" i="1" s="1"/>
  <c r="F21" i="5"/>
  <c r="F20" i="5"/>
  <c r="J16" i="5"/>
  <c r="J21" i="5" s="1"/>
  <c r="G21" i="5"/>
  <c r="C98" i="1" s="1"/>
  <c r="C99" i="1" s="1"/>
  <c r="G20" i="5"/>
  <c r="F78" i="1"/>
  <c r="C40" i="1"/>
  <c r="C37" i="1"/>
  <c r="G40" i="1"/>
  <c r="G37" i="1"/>
  <c r="F40" i="1"/>
  <c r="F37" i="1"/>
  <c r="E40" i="1"/>
  <c r="E37" i="1"/>
  <c r="D40" i="1"/>
  <c r="D37" i="1"/>
  <c r="G78" i="1" l="1"/>
  <c r="J20" i="5"/>
  <c r="C112" i="1"/>
  <c r="C113" i="1" s="1"/>
  <c r="F126" i="1" s="1"/>
  <c r="D44" i="1"/>
  <c r="D41" i="1"/>
  <c r="E44" i="1"/>
  <c r="H88" i="4" s="1" a="1"/>
  <c r="H88" i="4" s="1"/>
  <c r="H89" i="4" s="1"/>
  <c r="E41" i="1"/>
  <c r="F44" i="1"/>
  <c r="I88" i="4" s="1" a="1"/>
  <c r="I88" i="4" s="1"/>
  <c r="I89" i="4" s="1"/>
  <c r="F41" i="1"/>
  <c r="G44" i="1"/>
  <c r="J88" i="4" s="1" a="1"/>
  <c r="J88" i="4" s="1"/>
  <c r="J89" i="4" s="1"/>
  <c r="G41" i="1"/>
  <c r="C44" i="1"/>
  <c r="C41" i="1"/>
  <c r="C85" i="1" l="1"/>
  <c r="D85" i="1" s="1"/>
  <c r="E85" i="1" s="1"/>
  <c r="G85" i="1" s="1"/>
  <c r="C84" i="1"/>
  <c r="D84" i="1"/>
  <c r="E126" i="1"/>
  <c r="C126" i="1"/>
  <c r="G126" i="1"/>
  <c r="H126" i="1" s="1"/>
  <c r="D126" i="1"/>
  <c r="C49" i="1"/>
  <c r="C45" i="1"/>
  <c r="G49" i="1"/>
  <c r="G45" i="1"/>
  <c r="F49" i="1"/>
  <c r="F45" i="1"/>
  <c r="E49" i="1"/>
  <c r="E45" i="1"/>
  <c r="D49" i="1"/>
  <c r="D45" i="1"/>
  <c r="D86" i="1" l="1"/>
  <c r="C87" i="1"/>
  <c r="C91" i="1" s="1"/>
  <c r="C86" i="1"/>
  <c r="E84" i="1"/>
  <c r="E86" i="1" s="1"/>
  <c r="D87" i="1"/>
  <c r="D91" i="1" s="1"/>
  <c r="D53" i="1"/>
  <c r="D54" i="1" s="1"/>
  <c r="D50" i="1"/>
  <c r="D52" i="1"/>
  <c r="E53" i="1"/>
  <c r="E54" i="1" s="1"/>
  <c r="E50" i="1"/>
  <c r="E52" i="1"/>
  <c r="F53" i="1"/>
  <c r="F54" i="1" s="1"/>
  <c r="F50" i="1"/>
  <c r="F52" i="1"/>
  <c r="G53" i="1"/>
  <c r="G54" i="1" s="1"/>
  <c r="G50" i="1"/>
  <c r="G52" i="1"/>
  <c r="C53" i="1"/>
  <c r="C54" i="1" s="1"/>
  <c r="C50" i="1"/>
  <c r="C52" i="1"/>
  <c r="E87" i="1" l="1"/>
  <c r="E91" i="1" s="1"/>
  <c r="C88" i="1"/>
  <c r="D88" i="1"/>
  <c r="D89" i="1" s="1" a="1"/>
  <c r="D89" i="1" s="1"/>
  <c r="D90" i="1" s="1"/>
  <c r="F84" i="1"/>
  <c r="F86" i="1" s="1"/>
  <c r="C89" i="1" l="1" a="1"/>
  <c r="C89" i="1" s="1"/>
  <c r="C90" i="1" s="1"/>
  <c r="E88" i="1"/>
  <c r="E89" i="1" s="1" a="1"/>
  <c r="E89" i="1" s="1"/>
  <c r="E90" i="1" s="1"/>
  <c r="G84" i="1"/>
  <c r="G87" i="1" s="1"/>
  <c r="G91" i="1" s="1"/>
  <c r="F87" i="1"/>
  <c r="F91" i="1" s="1"/>
  <c r="D92" i="1"/>
  <c r="D93" i="1" s="1"/>
  <c r="D125" i="1" s="1"/>
  <c r="D127" i="1" s="1"/>
  <c r="C92" i="1" l="1"/>
  <c r="C93" i="1" s="1"/>
  <c r="C125" i="1" s="1"/>
  <c r="C127" i="1" s="1"/>
  <c r="F88" i="1"/>
  <c r="G86" i="1"/>
  <c r="G88" i="1" s="1"/>
  <c r="F89" i="1" a="1"/>
  <c r="F89" i="1" s="1"/>
  <c r="F90" i="1" s="1"/>
  <c r="E92" i="1"/>
  <c r="E93" i="1" s="1"/>
  <c r="E125" i="1" s="1"/>
  <c r="E127" i="1" s="1"/>
  <c r="G89" i="1" l="1" a="1"/>
  <c r="G89" i="1" s="1"/>
  <c r="G90" i="1" s="1"/>
  <c r="F92" i="1"/>
  <c r="F93" i="1" s="1"/>
  <c r="F125" i="1" s="1"/>
  <c r="F127" i="1" s="1"/>
  <c r="G92" i="1" l="1"/>
  <c r="G93" i="1" s="1"/>
  <c r="G125" i="1" s="1"/>
  <c r="G127" i="1" s="1"/>
  <c r="B133" i="1" s="1"/>
  <c r="C117" i="1" l="1"/>
  <c r="C120" i="1" s="1"/>
  <c r="H125" i="1" s="1"/>
  <c r="H127" i="1" s="1"/>
  <c r="B138" i="1" s="1"/>
  <c r="B143" i="1" s="1"/>
  <c r="C145" i="1" s="1"/>
  <c r="C148" i="1" s="1"/>
  <c r="C150" i="1" l="1"/>
  <c r="B157" i="1" s="1"/>
  <c r="D151" i="1" l="1"/>
  <c r="C1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<sst xmlns="http://schemas.openxmlformats.org/spreadsheetml/2006/main" count="276" uniqueCount="215">
  <si>
    <t>Discounted Cashflow Model</t>
  </si>
  <si>
    <t>Financial Modelling Course</t>
  </si>
  <si>
    <t>Company Overview</t>
  </si>
  <si>
    <r>
      <rPr>
        <b/>
        <sz val="11"/>
        <color rgb="FF000000"/>
        <rFont val="Calibri"/>
        <family val="2"/>
        <scheme val="minor"/>
      </rPr>
      <t>WestSide</t>
    </r>
    <r>
      <rPr>
        <sz val="11"/>
        <color rgb="FF000000"/>
        <rFont val="Calibri"/>
        <family val="2"/>
        <scheme val="minor"/>
      </rPr>
      <t>- Depatrment Store chain 248 Stores</t>
    </r>
  </si>
  <si>
    <r>
      <rPr>
        <b/>
        <sz val="11"/>
        <color rgb="FF000000"/>
        <rFont val="Calibri"/>
        <family val="2"/>
        <scheme val="minor"/>
      </rPr>
      <t>Zudio</t>
    </r>
    <r>
      <rPr>
        <sz val="11"/>
        <color rgb="FF000000"/>
        <rFont val="Calibri"/>
        <family val="2"/>
        <scheme val="minor"/>
      </rPr>
      <t>- Value Fashion Retail Chain 766 stores</t>
    </r>
  </si>
  <si>
    <r>
      <rPr>
        <b/>
        <sz val="11"/>
        <color rgb="FF000000"/>
        <rFont val="Calibri"/>
        <family val="2"/>
        <scheme val="minor"/>
      </rPr>
      <t>Star Market</t>
    </r>
    <r>
      <rPr>
        <sz val="11"/>
        <color rgb="FF000000"/>
        <rFont val="Calibri"/>
        <family val="2"/>
        <scheme val="minor"/>
      </rPr>
      <t>- Hyper Market Format 78 Stores</t>
    </r>
  </si>
  <si>
    <t>Total Store Count : 1000+ stores across 240+ Cities I Retail Area: ~13.6 Million Sqft</t>
  </si>
  <si>
    <t>Key Assumption And Methodology</t>
  </si>
  <si>
    <t>Parameter</t>
  </si>
  <si>
    <t>Value</t>
  </si>
  <si>
    <t>Rationale</t>
  </si>
  <si>
    <t xml:space="preserve">Valuation Date </t>
  </si>
  <si>
    <t>Projection Period</t>
  </si>
  <si>
    <t>Based On management guidance</t>
  </si>
  <si>
    <t>Annual Growth Tapering</t>
  </si>
  <si>
    <t>Terminal Growth Rate</t>
  </si>
  <si>
    <t>Conservative long term growth considering India's GDP and retail sector potential</t>
  </si>
  <si>
    <t>Risk Free Rate (RF)</t>
  </si>
  <si>
    <t>India 10 year bond yield</t>
  </si>
  <si>
    <t>EquityRisk Premium (ERP)</t>
  </si>
  <si>
    <t>Exprcted return over RFR for equity investors</t>
  </si>
  <si>
    <t>Tax Rate</t>
  </si>
  <si>
    <t>Effective Tax Rate based of historical performance</t>
  </si>
  <si>
    <t>Income Statement</t>
  </si>
  <si>
    <t>Particulars</t>
  </si>
  <si>
    <t>CAGR</t>
  </si>
  <si>
    <t>Sales</t>
  </si>
  <si>
    <t>% Of growth</t>
  </si>
  <si>
    <t>COGS</t>
  </si>
  <si>
    <t>% of Revenue</t>
  </si>
  <si>
    <t>Gross Profit</t>
  </si>
  <si>
    <t>% Margin</t>
  </si>
  <si>
    <t>Operating Expenses</t>
  </si>
  <si>
    <t>% Revenue</t>
  </si>
  <si>
    <t>EBITDA</t>
  </si>
  <si>
    <t>Depreciation</t>
  </si>
  <si>
    <t>% Of Sales</t>
  </si>
  <si>
    <t>EBIT</t>
  </si>
  <si>
    <t>Other Income</t>
  </si>
  <si>
    <t>Interest</t>
  </si>
  <si>
    <t>% debt</t>
  </si>
  <si>
    <t>Profit Before Tax</t>
  </si>
  <si>
    <t>Tax</t>
  </si>
  <si>
    <t>% of PBT</t>
  </si>
  <si>
    <t>Net Profit</t>
  </si>
  <si>
    <t>% of revenue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</si>
  <si>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</si>
  <si>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</si>
  <si>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</si>
  <si>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</si>
  <si>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</si>
  <si>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</si>
  <si>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</si>
  <si>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Investments</t>
  </si>
  <si>
    <t>Inventory</t>
  </si>
  <si>
    <t>Cash &amp; Bank</t>
  </si>
  <si>
    <t>Other Assets</t>
  </si>
  <si>
    <t>Revenue Projections And Growth Assumptions</t>
  </si>
  <si>
    <t>Year</t>
  </si>
  <si>
    <t>FY 2026</t>
  </si>
  <si>
    <t>FY 2027</t>
  </si>
  <si>
    <t>FY 2028</t>
  </si>
  <si>
    <t>FY 2029</t>
  </si>
  <si>
    <t>FY 2030</t>
  </si>
  <si>
    <t>Revenue Growth%</t>
  </si>
  <si>
    <t>Revenue in (Crs)</t>
  </si>
  <si>
    <t>Chosen Scenarios</t>
  </si>
  <si>
    <t>Base Case</t>
  </si>
  <si>
    <t xml:space="preserve">Best Case </t>
  </si>
  <si>
    <t>Worst Case</t>
  </si>
  <si>
    <t>Free Cash flow Projection (Rs Crs)</t>
  </si>
  <si>
    <t>Revenue</t>
  </si>
  <si>
    <t>EBITDA Margin%</t>
  </si>
  <si>
    <t>Less Depreciation</t>
  </si>
  <si>
    <t>Less Tax</t>
  </si>
  <si>
    <t>NOPAT</t>
  </si>
  <si>
    <t>Add: Depreciation</t>
  </si>
  <si>
    <t>Less: Reinvestment</t>
  </si>
  <si>
    <t>Free Cash flow to firm</t>
  </si>
  <si>
    <t xml:space="preserve"> WACC Calculation</t>
  </si>
  <si>
    <t>Target Capital Structure</t>
  </si>
  <si>
    <t>Proportion Of Debt</t>
  </si>
  <si>
    <t>Proportion Of Equity</t>
  </si>
  <si>
    <t>Current Capital Structure</t>
  </si>
  <si>
    <t>Market Cap</t>
  </si>
  <si>
    <t>Tota Debt</t>
  </si>
  <si>
    <t>Debt/Equity</t>
  </si>
  <si>
    <t>Cost Of Debt</t>
  </si>
  <si>
    <t>Pre-tax cost of debt</t>
  </si>
  <si>
    <t>tax Rate</t>
  </si>
  <si>
    <t>After Tax Cost of Debt</t>
  </si>
  <si>
    <t>Cost Of Equity</t>
  </si>
  <si>
    <t>Risk Free Rate</t>
  </si>
  <si>
    <t>Equity Risk Premium</t>
  </si>
  <si>
    <t>Levered Equity Beta</t>
  </si>
  <si>
    <t>WACC</t>
  </si>
  <si>
    <t>Terminal Value</t>
  </si>
  <si>
    <t>Terminal Year FCF (Fy30)</t>
  </si>
  <si>
    <t>Terminal Value = FCF*(1+G) / (WACC-G)</t>
  </si>
  <si>
    <t>Present Value Calculation</t>
  </si>
  <si>
    <t>Years</t>
  </si>
  <si>
    <t>FCF (Rs Crs)</t>
  </si>
  <si>
    <t>Discount Factor</t>
  </si>
  <si>
    <t>PV of FCF (Rs Crs)</t>
  </si>
  <si>
    <t>DCF Valuation Summary</t>
  </si>
  <si>
    <t>Sum Of PV of FCF (FY 26-30)</t>
  </si>
  <si>
    <t>PV of Terminal VALUE</t>
  </si>
  <si>
    <t>Enterprise Value</t>
  </si>
  <si>
    <t>Less: Net Debt</t>
  </si>
  <si>
    <t>Add: Cash And Investments</t>
  </si>
  <si>
    <t>Equity Value</t>
  </si>
  <si>
    <t>Share Outstanding</t>
  </si>
  <si>
    <t>Fair Value Per Share</t>
  </si>
  <si>
    <t>Current Market price</t>
  </si>
  <si>
    <t>Upside/Downside</t>
  </si>
  <si>
    <t>Sensitivity Analysis</t>
  </si>
  <si>
    <t>Terminal Growth/ WACC</t>
  </si>
  <si>
    <t>Key Risk And Consideration</t>
  </si>
  <si>
    <t>Upside Risk:</t>
  </si>
  <si>
    <r>
      <rPr>
        <b/>
        <sz val="11"/>
        <color rgb="FF000000"/>
        <rFont val="Calibri"/>
        <family val="2"/>
        <scheme val="minor"/>
      </rPr>
      <t>Faster Store Exansion</t>
    </r>
    <r>
      <rPr>
        <sz val="11"/>
        <color rgb="FF000000"/>
        <rFont val="Calibri"/>
        <family val="2"/>
        <scheme val="minor"/>
      </rPr>
      <t>- Company May exceed planned store additions, espically for zudio format</t>
    </r>
  </si>
  <si>
    <r>
      <rPr>
        <b/>
        <sz val="11"/>
        <color rgb="FF000000"/>
        <rFont val="Calibri"/>
        <family val="2"/>
        <scheme val="minor"/>
      </rPr>
      <t>Market Share Gains</t>
    </r>
    <r>
      <rPr>
        <sz val="11"/>
        <color rgb="FF000000"/>
        <rFont val="Calibri"/>
        <family val="2"/>
        <scheme val="minor"/>
      </rPr>
      <t>- Continued market share gains from unorganized retail</t>
    </r>
  </si>
  <si>
    <r>
      <rPr>
        <b/>
        <sz val="11"/>
        <color rgb="FF000000"/>
        <rFont val="Calibri"/>
        <family val="2"/>
        <scheme val="minor"/>
      </rPr>
      <t>Margin Expansion</t>
    </r>
    <r>
      <rPr>
        <sz val="11"/>
        <color rgb="FF000000"/>
        <rFont val="Calibri"/>
        <family val="2"/>
        <scheme val="minor"/>
      </rPr>
      <t>- Higher private label penetration could drive margins beyond projections</t>
    </r>
  </si>
  <si>
    <r>
      <rPr>
        <b/>
        <sz val="11"/>
        <color rgb="FF000000"/>
        <rFont val="Calibri"/>
        <family val="2"/>
        <scheme val="minor"/>
      </rPr>
      <t>Digital Growth</t>
    </r>
    <r>
      <rPr>
        <sz val="11"/>
        <color rgb="FF000000"/>
        <rFont val="Calibri"/>
        <family val="2"/>
        <scheme val="minor"/>
      </rPr>
      <t>- Omnichannel integration could accelerate revenue growth</t>
    </r>
  </si>
  <si>
    <t>Downside Risk:</t>
  </si>
  <si>
    <r>
      <rPr>
        <b/>
        <sz val="11"/>
        <color rgb="FF000000"/>
        <rFont val="Calibri"/>
        <family val="2"/>
        <scheme val="minor"/>
      </rPr>
      <t>Intensify Competation</t>
    </r>
    <r>
      <rPr>
        <sz val="11"/>
        <color rgb="FF000000"/>
        <rFont val="Calibri"/>
        <family val="2"/>
        <scheme val="minor"/>
      </rPr>
      <t>- Intensifying competation from global fast fashion brands and e commerce</t>
    </r>
  </si>
  <si>
    <r>
      <rPr>
        <b/>
        <sz val="11"/>
        <color rgb="FF000000"/>
        <rFont val="Calibri"/>
        <family val="2"/>
        <scheme val="minor"/>
      </rPr>
      <t>Execution Risk</t>
    </r>
    <r>
      <rPr>
        <sz val="11"/>
        <color rgb="FF000000"/>
        <rFont val="Calibri"/>
        <family val="2"/>
        <scheme val="minor"/>
      </rPr>
      <t>- Challanges in maintaining quality and brand positioning during rapid expansion</t>
    </r>
  </si>
  <si>
    <r>
      <rPr>
        <b/>
        <sz val="11"/>
        <color rgb="FF000000"/>
        <rFont val="Calibri"/>
        <family val="2"/>
        <scheme val="minor"/>
      </rPr>
      <t>Economic Slowdown</t>
    </r>
    <r>
      <rPr>
        <sz val="11"/>
        <color rgb="FF000000"/>
        <rFont val="Calibri"/>
        <family val="2"/>
        <scheme val="minor"/>
      </rPr>
      <t>- consumer directionry spending could be impacted by economic headwill</t>
    </r>
  </si>
  <si>
    <r>
      <rPr>
        <b/>
        <sz val="11"/>
        <color rgb="FF000000"/>
        <rFont val="Calibri"/>
        <family val="2"/>
        <scheme val="minor"/>
      </rPr>
      <t>Real Estate Costs</t>
    </r>
    <r>
      <rPr>
        <sz val="11"/>
        <color rgb="FF000000"/>
        <rFont val="Calibri"/>
        <family val="2"/>
        <scheme val="minor"/>
      </rPr>
      <t>- Rising rental cost in prime location could pressure margin</t>
    </r>
  </si>
  <si>
    <r>
      <rPr>
        <b/>
        <sz val="11"/>
        <color rgb="FF000000"/>
        <rFont val="Calibri"/>
        <family val="2"/>
        <scheme val="minor"/>
      </rPr>
      <t>Inventory Management</t>
    </r>
    <r>
      <rPr>
        <sz val="11"/>
        <color rgb="FF000000"/>
        <rFont val="Calibri"/>
        <family val="2"/>
        <scheme val="minor"/>
      </rPr>
      <t>- working capital requirement may increase with scale</t>
    </r>
  </si>
  <si>
    <t>Conclusion and Recommendation</t>
  </si>
  <si>
    <r>
      <rPr>
        <sz val="11"/>
        <color rgb="FF000000"/>
        <rFont val="Calibri"/>
        <family val="2"/>
        <scheme val="minor"/>
      </rPr>
      <t xml:space="preserve">Based on our DCF analysis we this </t>
    </r>
    <r>
      <rPr>
        <b/>
        <sz val="11"/>
        <color rgb="FF000000"/>
        <rFont val="Calibri"/>
        <family val="2"/>
        <scheme val="minor"/>
      </rPr>
      <t xml:space="preserve">Trent ltd </t>
    </r>
    <r>
      <rPr>
        <sz val="11"/>
        <color rgb="FF000000"/>
        <rFont val="Calibri"/>
        <family val="2"/>
        <scheme val="minor"/>
      </rPr>
      <t xml:space="preserve">Intrensic value is estimated at </t>
    </r>
    <r>
      <rPr>
        <b/>
        <sz val="11"/>
        <color rgb="FF000000"/>
        <rFont val="Calibri"/>
        <family val="2"/>
        <scheme val="minor"/>
      </rPr>
      <t xml:space="preserve">Rs1754 per share </t>
    </r>
    <r>
      <rPr>
        <sz val="11"/>
        <color rgb="FF000000"/>
        <rFont val="Calibri"/>
        <family val="2"/>
        <scheme val="minor"/>
      </rPr>
      <t xml:space="preserve">compare to the </t>
    </r>
    <r>
      <rPr>
        <b/>
        <sz val="11"/>
        <color rgb="FF000000"/>
        <rFont val="Calibri"/>
        <family val="2"/>
        <scheme val="minor"/>
      </rPr>
      <t>market price of Rs 4770 PER SHARE.</t>
    </r>
    <r>
      <rPr>
        <sz val="11"/>
        <color rgb="FF000000"/>
        <rFont val="Calibri"/>
        <family val="2"/>
        <scheme val="minor"/>
      </rPr>
      <t xml:space="preserve"> It suggestes thet the stock is trading  at a </t>
    </r>
    <r>
      <rPr>
        <b/>
        <sz val="11"/>
        <color rgb="FF000000"/>
        <rFont val="Calibri"/>
        <family val="2"/>
        <scheme val="minor"/>
      </rPr>
      <t xml:space="preserve">significant premium of 52% </t>
    </r>
    <r>
      <rPr>
        <sz val="11"/>
        <color rgb="FF000000"/>
        <rFont val="Calibri"/>
        <family val="2"/>
        <scheme val="minor"/>
      </rPr>
      <t>to its fair value</t>
    </r>
  </si>
  <si>
    <t>Key Findings</t>
  </si>
  <si>
    <t>The company has demonstrated exceptional growth with revenue CAGR OF ~60% over FY21-25</t>
  </si>
  <si>
    <t>Healthy EBITDA Margins with margins expanding from 4% to 16.5%</t>
  </si>
  <si>
    <t>However current valuation appears stretched with PE of ~102x trailing earnings</t>
  </si>
  <si>
    <r>
      <rPr>
        <b/>
        <sz val="11"/>
        <color rgb="FF000000"/>
        <rFont val="Calibri"/>
        <family val="2"/>
        <scheme val="minor"/>
      </rPr>
      <t xml:space="preserve">Investment Recommendation: </t>
    </r>
    <r>
      <rPr>
        <b/>
        <sz val="11"/>
        <color rgb="FFFF0000"/>
        <rFont val="Calibri"/>
        <family val="2"/>
        <scheme val="minor"/>
      </rPr>
      <t>HOLD / Reduce</t>
    </r>
  </si>
  <si>
    <t>While trent remains a high quality franchise with strong growth prospect. The current valuation elaves limited margin of safety for Investors.</t>
  </si>
  <si>
    <t>The stock apperas to be pricing in perfect executon over the next 5-7 years. So the investors may consider</t>
  </si>
  <si>
    <t>_ Existng shareholder may hold with trailing stop-losses</t>
  </si>
  <si>
    <t>_ New investors should wait for better entry points</t>
  </si>
  <si>
    <t>_ Or should consider partial profit Booking if holding significant positions</t>
  </si>
  <si>
    <t>COMPANY NAME</t>
  </si>
  <si>
    <t>TRENT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</si>
  <si>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</si>
  <si>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</si>
  <si>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</si>
  <si>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</si>
  <si>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</si>
  <si>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</si>
  <si>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</si>
  <si>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</si>
  <si>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</si>
  <si>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</si>
  <si>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</si>
  <si>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</si>
  <si>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</si>
  <si>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</si>
  <si>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</si>
  <si>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</si>
  <si>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</si>
  <si>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</si>
  <si>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</si>
  <si>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</si>
  <si>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</si>
  <si>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</si>
  <si>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</si>
  <si>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</si>
  <si>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</si>
  <si>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Capital Work in Progress</t>
  </si>
  <si>
    <t>Receivables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</si>
  <si>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</si>
  <si>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</si>
  <si>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</si>
  <si>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</si>
  <si>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</si>
  <si>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</si>
  <si>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</si>
  <si>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</si>
  <si>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</si>
  <si>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</si>
  <si>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</si>
  <si>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Comps Data</t>
  </si>
  <si>
    <t>Name</t>
  </si>
  <si>
    <t>CMP Rs.</t>
  </si>
  <si>
    <t>Mar Cap Rs.Cr.</t>
  </si>
  <si>
    <t>Debt Rs.Cr.</t>
  </si>
  <si>
    <t>Debt / Eq</t>
  </si>
  <si>
    <t>Sales Rs.Cr.</t>
  </si>
  <si>
    <t>Beta</t>
  </si>
  <si>
    <t>Cash and Equivalent</t>
  </si>
  <si>
    <t>Trent</t>
  </si>
  <si>
    <t>Lenskart Solut.</t>
  </si>
  <si>
    <t>Vedant Fashions</t>
  </si>
  <si>
    <t>A B Lifestyle</t>
  </si>
  <si>
    <t>V2 Retail</t>
  </si>
  <si>
    <t>Industry Beta</t>
  </si>
  <si>
    <t>Equit Value</t>
  </si>
  <si>
    <t>Total Debt</t>
  </si>
  <si>
    <t>Debt /Capital</t>
  </si>
  <si>
    <t>Tax Rate %</t>
  </si>
  <si>
    <t>Levered Beta</t>
  </si>
  <si>
    <t>Unlivered Beta</t>
  </si>
  <si>
    <t>Average</t>
  </si>
  <si>
    <t>Median</t>
  </si>
  <si>
    <t>Trent LTD is the Retal arm of the TATA Group, Operatng multiple retail formats</t>
  </si>
  <si>
    <t>SBI</t>
  </si>
  <si>
    <t>Bank of Baroda</t>
  </si>
  <si>
    <t>Indian Bank</t>
  </si>
  <si>
    <t>CMP ₹</t>
  </si>
  <si>
    <t>Mar Cap ₹ Cr</t>
  </si>
  <si>
    <t>Debt ₹ Cr</t>
  </si>
  <si>
    <t>Sales ₹ Cr</t>
  </si>
  <si>
    <t>Cash &amp; Equivalents ₹ Cr</t>
  </si>
  <si>
    <t>Union Bank</t>
  </si>
  <si>
    <t>Punjab National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</si>
</sst>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0.0"/>
    <numFmt numFmtId="167" formatCode="0.0%"/>
    <numFmt numFmtId="168" formatCode="\:"/>
    <numFmt numFmtId="169" formatCode="_(* #,##0_);_(* \(#,##0\);_(* &quot;-&quot;??_);_(@_)"/>
    <numFmt numFmtId="170" formatCode=";;;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28"/>
      <color theme="4" tint="-0.249977111117893"/>
      <name val="Calibri"/>
      <family val="2"/>
      <scheme val="minor"/>
    </font>
    <font>
      <sz val="24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7"/>
      <color rgb="FF22222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4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164" fontId="3" fillId="0" borderId="0" xfId="1" applyFont="1" applyBorder="1"/>
    <xf numFmtId="164" fontId="0" fillId="0" borderId="0" xfId="1" applyFont="1" applyBorder="1"/>
    <xf numFmtId="165" fontId="5" fillId="3" borderId="0" xfId="1" applyNumberFormat="1" applyFont="1" applyFill="1" applyBorder="1"/>
    <xf numFmtId="165" fontId="5" fillId="3" borderId="0" xfId="0" applyNumberFormat="1" applyFont="1" applyFill="1" applyAlignment="1">
      <alignment horizontal="center"/>
    </xf>
    <xf numFmtId="165" fontId="6" fillId="0" borderId="0" xfId="1" applyNumberFormat="1" applyFont="1" applyFill="1" applyBorder="1"/>
    <xf numFmtId="164" fontId="1" fillId="0" borderId="0" xfId="1" applyFont="1" applyBorder="1"/>
    <xf numFmtId="0" fontId="3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4" borderId="0" xfId="0" applyFont="1" applyFill="1"/>
    <xf numFmtId="0" fontId="0" fillId="4" borderId="0" xfId="0" applyFill="1"/>
    <xf numFmtId="0" fontId="4" fillId="4" borderId="0" xfId="0" applyFont="1" applyFill="1"/>
    <xf numFmtId="165" fontId="5" fillId="4" borderId="0" xfId="0" applyNumberFormat="1" applyFont="1" applyFill="1" applyAlignment="1">
      <alignment horizontal="center"/>
    </xf>
    <xf numFmtId="166" fontId="0" fillId="0" borderId="0" xfId="0" applyNumberFormat="1"/>
    <xf numFmtId="9" fontId="0" fillId="0" borderId="0" xfId="0" applyNumberFormat="1"/>
    <xf numFmtId="0" fontId="12" fillId="0" borderId="0" xfId="0" applyFont="1"/>
    <xf numFmtId="167" fontId="0" fillId="0" borderId="0" xfId="0" applyNumberFormat="1"/>
    <xf numFmtId="0" fontId="13" fillId="0" borderId="0" xfId="0" applyFont="1"/>
    <xf numFmtId="9" fontId="13" fillId="0" borderId="0" xfId="0" applyNumberFormat="1" applyFont="1"/>
    <xf numFmtId="0" fontId="0" fillId="6" borderId="0" xfId="0" applyFill="1"/>
    <xf numFmtId="166" fontId="0" fillId="6" borderId="0" xfId="0" applyNumberFormat="1" applyFill="1"/>
    <xf numFmtId="9" fontId="0" fillId="6" borderId="0" xfId="0" applyNumberFormat="1" applyFill="1"/>
    <xf numFmtId="167" fontId="13" fillId="0" borderId="0" xfId="0" applyNumberFormat="1" applyFont="1"/>
    <xf numFmtId="167" fontId="0" fillId="6" borderId="0" xfId="0" applyNumberFormat="1" applyFill="1"/>
    <xf numFmtId="0" fontId="14" fillId="5" borderId="0" xfId="0" applyFont="1" applyFill="1"/>
    <xf numFmtId="0" fontId="4" fillId="5" borderId="0" xfId="0" applyFont="1" applyFill="1"/>
    <xf numFmtId="0" fontId="0" fillId="7" borderId="0" xfId="0" applyFill="1"/>
    <xf numFmtId="166" fontId="0" fillId="7" borderId="0" xfId="0" applyNumberFormat="1" applyFill="1"/>
    <xf numFmtId="0" fontId="0" fillId="5" borderId="0" xfId="0" applyFill="1"/>
    <xf numFmtId="0" fontId="15" fillId="8" borderId="0" xfId="0" applyFont="1" applyFill="1"/>
    <xf numFmtId="0" fontId="4" fillId="9" borderId="0" xfId="0" applyFont="1" applyFill="1"/>
    <xf numFmtId="168" fontId="0" fillId="0" borderId="0" xfId="0" applyNumberFormat="1"/>
    <xf numFmtId="1" fontId="0" fillId="0" borderId="0" xfId="0" applyNumberFormat="1"/>
    <xf numFmtId="0" fontId="0" fillId="10" borderId="0" xfId="0" applyFill="1"/>
    <xf numFmtId="169" fontId="0" fillId="0" borderId="0" xfId="1" applyNumberFormat="1" applyFont="1" applyBorder="1"/>
    <xf numFmtId="9" fontId="0" fillId="0" borderId="0" xfId="1" applyNumberFormat="1" applyFont="1" applyBorder="1"/>
    <xf numFmtId="0" fontId="0" fillId="11" borderId="0" xfId="0" applyFill="1"/>
    <xf numFmtId="1" fontId="3" fillId="11" borderId="0" xfId="0" applyNumberFormat="1" applyFont="1" applyFill="1"/>
    <xf numFmtId="0" fontId="15" fillId="5" borderId="0" xfId="0" applyFont="1" applyFill="1"/>
    <xf numFmtId="0" fontId="0" fillId="9" borderId="0" xfId="0" applyFill="1"/>
    <xf numFmtId="0" fontId="16" fillId="8" borderId="0" xfId="0" applyFont="1" applyFill="1"/>
    <xf numFmtId="0" fontId="4" fillId="8" borderId="0" xfId="0" applyFont="1" applyFill="1"/>
    <xf numFmtId="0" fontId="0" fillId="8" borderId="0" xfId="0" applyFill="1"/>
    <xf numFmtId="2" fontId="0" fillId="0" borderId="0" xfId="0" applyNumberFormat="1"/>
    <xf numFmtId="0" fontId="4" fillId="9" borderId="0" xfId="0" applyFont="1" applyFill="1" applyAlignment="1">
      <alignment horizontal="center"/>
    </xf>
    <xf numFmtId="9" fontId="4" fillId="9" borderId="0" xfId="0" applyNumberFormat="1" applyFont="1" applyFill="1"/>
    <xf numFmtId="2" fontId="4" fillId="9" borderId="0" xfId="0" applyNumberFormat="1" applyFont="1" applyFill="1"/>
    <xf numFmtId="10" fontId="0" fillId="0" borderId="0" xfId="0" applyNumberFormat="1"/>
    <xf numFmtId="10" fontId="17" fillId="5" borderId="0" xfId="0" applyNumberFormat="1" applyFont="1" applyFill="1"/>
    <xf numFmtId="0" fontId="18" fillId="8" borderId="0" xfId="0" applyFont="1" applyFill="1"/>
    <xf numFmtId="10" fontId="18" fillId="8" borderId="0" xfId="0" applyNumberFormat="1" applyFont="1" applyFill="1"/>
    <xf numFmtId="0" fontId="19" fillId="0" borderId="0" xfId="0" applyFont="1"/>
    <xf numFmtId="0" fontId="20" fillId="5" borderId="0" xfId="0" applyFont="1" applyFill="1"/>
    <xf numFmtId="1" fontId="20" fillId="5" borderId="0" xfId="0" applyNumberFormat="1" applyFont="1" applyFill="1"/>
    <xf numFmtId="0" fontId="21" fillId="0" borderId="0" xfId="0" applyFont="1"/>
    <xf numFmtId="9" fontId="20" fillId="0" borderId="0" xfId="0" applyNumberFormat="1" applyFont="1"/>
    <xf numFmtId="0" fontId="7" fillId="0" borderId="0" xfId="0" applyFont="1" applyAlignment="1">
      <alignment horizontal="center"/>
    </xf>
    <xf numFmtId="1" fontId="3" fillId="12" borderId="0" xfId="0" applyNumberFormat="1" applyFont="1" applyFill="1" applyAlignment="1">
      <alignment horizontal="center" vertical="center"/>
    </xf>
    <xf numFmtId="0" fontId="0" fillId="12" borderId="0" xfId="0" applyFill="1" applyAlignment="1">
      <alignment horizontal="center"/>
    </xf>
    <xf numFmtId="1" fontId="23" fillId="0" borderId="0" xfId="0" applyNumberFormat="1" applyFont="1" applyAlignment="1">
      <alignment horizontal="center"/>
    </xf>
    <xf numFmtId="0" fontId="25" fillId="14" borderId="0" xfId="0" applyFont="1" applyFill="1"/>
    <xf numFmtId="1" fontId="24" fillId="13" borderId="0" xfId="0" applyNumberFormat="1" applyFont="1" applyFill="1"/>
    <xf numFmtId="164" fontId="0" fillId="0" borderId="0" xfId="0" applyNumberFormat="1"/>
    <xf numFmtId="9" fontId="26" fillId="0" borderId="0" xfId="0" applyNumberFormat="1" applyFont="1"/>
    <xf numFmtId="0" fontId="24" fillId="13" borderId="0" xfId="0" applyFont="1" applyFill="1"/>
    <xf numFmtId="0" fontId="4" fillId="14" borderId="0" xfId="0" applyFont="1" applyFill="1"/>
    <xf numFmtId="9" fontId="0" fillId="0" borderId="0" xfId="0" applyNumberFormat="1" applyAlignment="1">
      <alignment horizontal="left"/>
    </xf>
    <xf numFmtId="10" fontId="4" fillId="14" borderId="0" xfId="0" applyNumberFormat="1" applyFont="1" applyFill="1"/>
    <xf numFmtId="0" fontId="23" fillId="0" borderId="0" xfId="0" applyFont="1"/>
    <xf numFmtId="0" fontId="9" fillId="0" borderId="0" xfId="0" applyFont="1"/>
    <xf numFmtId="0" fontId="27" fillId="0" borderId="0" xfId="0" applyFont="1"/>
    <xf numFmtId="2" fontId="22" fillId="13" borderId="0" xfId="0" applyNumberFormat="1" applyFont="1" applyFill="1"/>
    <xf numFmtId="170" fontId="22" fillId="13" borderId="0" xfId="0" applyNumberFormat="1" applyFont="1" applyFill="1"/>
    <xf numFmtId="2" fontId="0" fillId="0" borderId="0" xfId="0" applyNumberFormat="1" applyAlignment="1">
      <alignment horizontal="right"/>
    </xf>
    <xf numFmtId="43" fontId="1" fillId="0" borderId="0" xfId="4" applyFont="1" applyBorder="1"/>
    <xf numFmtId="0" fontId="29" fillId="16" borderId="0" xfId="0" applyFont="1" applyFill="1" applyAlignment="1">
      <alignment horizontal="right" vertical="center" wrapText="1"/>
    </xf>
    <xf numFmtId="0" fontId="29" fillId="15" borderId="0" xfId="0" applyFont="1" applyFill="1" applyAlignment="1">
      <alignment horizontal="right" vertical="center" wrapText="1"/>
    </xf>
    <xf numFmtId="0" fontId="30" fillId="15" borderId="0" xfId="0" applyFont="1" applyFill="1" applyAlignment="1">
      <alignment horizontal="right" vertical="center" wrapText="1"/>
    </xf>
    <xf numFmtId="0" fontId="31" fillId="16" borderId="0" xfId="0" applyFont="1" applyFill="1" applyAlignment="1">
      <alignment horizontal="right" vertical="center" wrapText="1"/>
    </xf>
    <xf numFmtId="0" fontId="3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4" fontId="3" fillId="0" borderId="0" xfId="0" applyNumberFormat="1" applyFont="1" applyAlignment="1">
      <alignment horizontal="right" vertical="center" wrapText="1"/>
    </xf>
    <xf numFmtId="43" fontId="2" fillId="0" borderId="0" xfId="2" applyNumberFormat="1" applyBorder="1" applyAlignment="1" applyProtection="1">
      <alignment horizontal="center"/>
    </xf>
    <xf numFmtId="43" fontId="5" fillId="2" borderId="0" xfId="3" applyNumberFormat="1" applyFont="1" applyBorder="1" applyAlignment="1">
      <alignment horizontal="center"/>
    </xf>
  </cellXfs>
  <cellStyles count="5">
    <cellStyle name="Accent6 2" xfId="3" xr:uid="{0CB28D06-F8D2-4C58-ADF8-50CD926442EB}"/>
    <cellStyle name="Comma" xfId="1" builtinId="3"/>
    <cellStyle name="Comma 2" xfId="4" xr:uid="{2476D1F4-067E-48E4-8BF7-D4A589C23C7F}"/>
    <cellStyle name="Hyperlink" xfId="2" builtinId="8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A52A6EC7BD44B50/Fin%20Analysis%20and%20Valuation/Trent.xlsx" TargetMode="External"/><Relationship Id="rId1" Type="http://schemas.openxmlformats.org/officeDocument/2006/relationships/externalLinkPath" Target="T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1A52A6EC7BD44B50" itemId="1A52A6EC7BD44B50!s4dc51430f9f944b6ab8abf3c64f115a9">
      <xxl21:absoluteUrl r:id="rId2"/>
    </xxl21:alternateUrls>
    <sheetNames>
      <sheetName val="Financials&gt;"/>
      <sheetName val="HistoricalFS"/>
      <sheetName val="Ratio Analysis"/>
      <sheetName val="Foreacasting"/>
      <sheetName val="Data&gt;"/>
      <sheetName val="Data Sheet"/>
      <sheetName val="Cash Flow statement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TRENT LTD</v>
          </cell>
        </row>
        <row r="18">
          <cell r="C18">
            <v>1070.02</v>
          </cell>
        </row>
        <row r="20">
          <cell r="C20">
            <v>52.75</v>
          </cell>
        </row>
        <row r="21">
          <cell r="C21">
            <v>90.78</v>
          </cell>
        </row>
        <row r="22">
          <cell r="C22">
            <v>233.02</v>
          </cell>
        </row>
      </sheetData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97"/>
  <sheetViews>
    <sheetView showGridLines="0" tabSelected="1" zoomScale="70" zoomScaleNormal="70" workbookViewId="0">
      <selection activeCell="B15" sqref="B15"/>
    </sheetView>
  </sheetViews>
  <sheetFormatPr defaultRowHeight="14.4" outlineLevelRow="1" x14ac:dyDescent="0.3"/>
  <cols>
    <col min="1" max="1" width="3.6640625" customWidth="1"/>
    <col min="2" max="2" width="72.33203125" customWidth="1"/>
    <col min="3" max="3" width="12.5546875" bestFit="1" customWidth="1"/>
    <col min="4" max="4" width="11.33203125" customWidth="1"/>
    <col min="5" max="7" width="9.33203125" bestFit="1" customWidth="1"/>
    <col min="8" max="8" width="13.33203125" bestFit="1" customWidth="1"/>
  </cols>
  <sheetData>
    <row r="2" spans="2:2" ht="36.6" x14ac:dyDescent="0.7">
      <c r="B2" s="26" t="s">
        <v>0</v>
      </c>
    </row>
    <row r="3" spans="2:2" ht="23.4" x14ac:dyDescent="0.45">
      <c r="B3" s="9" t="s">
        <v>1</v>
      </c>
    </row>
    <row r="4" spans="2:2" x14ac:dyDescent="0.3">
      <c r="B4" s="12"/>
    </row>
    <row r="6" spans="2:2" ht="25.8" x14ac:dyDescent="0.5">
      <c r="B6" s="11" t="s">
        <v>2</v>
      </c>
    </row>
    <row r="7" spans="2:2" ht="18" outlineLevel="1" x14ac:dyDescent="0.35">
      <c r="B7" s="8" t="s">
        <v>204</v>
      </c>
    </row>
    <row r="8" spans="2:2" outlineLevel="1" x14ac:dyDescent="0.3"/>
    <row r="9" spans="2:2" outlineLevel="1" x14ac:dyDescent="0.3">
      <c r="B9" s="10" t="s">
        <v>3</v>
      </c>
    </row>
    <row r="10" spans="2:2" outlineLevel="1" x14ac:dyDescent="0.3">
      <c r="B10" s="10" t="s">
        <v>4</v>
      </c>
    </row>
    <row r="11" spans="2:2" outlineLevel="1" x14ac:dyDescent="0.3">
      <c r="B11" s="10" t="s">
        <v>5</v>
      </c>
    </row>
    <row r="12" spans="2:2" outlineLevel="1" x14ac:dyDescent="0.3"/>
    <row r="13" spans="2:2" outlineLevel="1" x14ac:dyDescent="0.3">
      <c r="B13" t="s">
        <v>6</v>
      </c>
    </row>
    <row r="14" spans="2:2" outlineLevel="1" x14ac:dyDescent="0.3"/>
    <row r="16" spans="2:2" ht="31.2" x14ac:dyDescent="0.6">
      <c r="B16" s="31" t="s">
        <v>7</v>
      </c>
    </row>
    <row r="17" spans="2:8" outlineLevel="1" x14ac:dyDescent="0.3">
      <c r="B17" s="32" t="s">
        <v>8</v>
      </c>
      <c r="C17" s="32" t="s">
        <v>9</v>
      </c>
      <c r="D17" s="32" t="s">
        <v>10</v>
      </c>
    </row>
    <row r="18" spans="2:8" outlineLevel="1" x14ac:dyDescent="0.3">
      <c r="B18" t="s">
        <v>11</v>
      </c>
    </row>
    <row r="19" spans="2:8" outlineLevel="1" x14ac:dyDescent="0.3">
      <c r="B19" t="s">
        <v>12</v>
      </c>
    </row>
    <row r="20" spans="2:8" outlineLevel="1" x14ac:dyDescent="0.3">
      <c r="C20" s="16">
        <v>0.2</v>
      </c>
      <c r="D20" t="s">
        <v>13</v>
      </c>
    </row>
    <row r="21" spans="2:8" outlineLevel="1" x14ac:dyDescent="0.3">
      <c r="B21" t="s">
        <v>14</v>
      </c>
      <c r="C21" s="16">
        <v>0.02</v>
      </c>
    </row>
    <row r="22" spans="2:8" outlineLevel="1" x14ac:dyDescent="0.3"/>
    <row r="23" spans="2:8" outlineLevel="1" x14ac:dyDescent="0.3">
      <c r="B23" t="s">
        <v>15</v>
      </c>
      <c r="C23" s="16">
        <v>0.06</v>
      </c>
      <c r="D23" t="s">
        <v>16</v>
      </c>
    </row>
    <row r="24" spans="2:8" outlineLevel="1" x14ac:dyDescent="0.3"/>
    <row r="25" spans="2:8" outlineLevel="1" x14ac:dyDescent="0.3">
      <c r="B25" t="s">
        <v>17</v>
      </c>
      <c r="C25" s="49">
        <v>6.5000000000000002E-2</v>
      </c>
      <c r="D25" t="s">
        <v>18</v>
      </c>
    </row>
    <row r="26" spans="2:8" outlineLevel="1" x14ac:dyDescent="0.3">
      <c r="B26" t="s">
        <v>19</v>
      </c>
      <c r="C26" s="18">
        <f>12%-C25</f>
        <v>5.4999999999999993E-2</v>
      </c>
      <c r="D26" t="s">
        <v>20</v>
      </c>
    </row>
    <row r="27" spans="2:8" outlineLevel="1" x14ac:dyDescent="0.3">
      <c r="B27" t="s">
        <v>21</v>
      </c>
      <c r="C27" s="16">
        <v>0.25</v>
      </c>
      <c r="D27" t="s">
        <v>22</v>
      </c>
    </row>
    <row r="28" spans="2:8" outlineLevel="1" x14ac:dyDescent="0.3"/>
    <row r="30" spans="2:8" ht="31.2" x14ac:dyDescent="0.6">
      <c r="B30" s="31" t="s">
        <v>23</v>
      </c>
    </row>
    <row r="31" spans="2:8" outlineLevel="1" x14ac:dyDescent="0.3">
      <c r="B31" s="13" t="s">
        <v>24</v>
      </c>
      <c r="C31" s="14">
        <v>44286</v>
      </c>
      <c r="D31" s="14">
        <v>44651</v>
      </c>
      <c r="E31" s="14">
        <v>45016</v>
      </c>
      <c r="F31" s="14">
        <v>45382</v>
      </c>
      <c r="G31" s="14">
        <v>45747</v>
      </c>
      <c r="H31" s="13" t="s">
        <v>25</v>
      </c>
    </row>
    <row r="32" spans="2:8" outlineLevel="1" x14ac:dyDescent="0.3">
      <c r="B32" t="s">
        <v>26</v>
      </c>
      <c r="C32" s="15">
        <f>'Data Sheet'!F17</f>
        <v>2592.96</v>
      </c>
      <c r="D32">
        <f>'Data Sheet'!G17</f>
        <v>4498.0200000000004</v>
      </c>
      <c r="E32">
        <f>'Data Sheet'!H17</f>
        <v>8242.02</v>
      </c>
      <c r="F32">
        <f>'Data Sheet'!I17</f>
        <v>12375.11</v>
      </c>
      <c r="G32">
        <f>'Data Sheet'!J17</f>
        <v>17134.61</v>
      </c>
    </row>
    <row r="33" spans="2:8" s="17" customFormat="1" outlineLevel="1" x14ac:dyDescent="0.3">
      <c r="B33" s="19" t="s">
        <v>27</v>
      </c>
      <c r="C33" s="19"/>
      <c r="D33" s="20">
        <f>D32/C32-1</f>
        <v>0.73470473898556099</v>
      </c>
      <c r="E33" s="20">
        <f t="shared" ref="E33:G33" si="0">E32/D32-1</f>
        <v>0.83236624114610414</v>
      </c>
      <c r="F33" s="20">
        <f t="shared" si="0"/>
        <v>0.50146566011730132</v>
      </c>
      <c r="G33" s="20">
        <f t="shared" si="0"/>
        <v>0.38460264191591031</v>
      </c>
      <c r="H33" s="20">
        <f>_xlfn.RRI(4,C32,G32)</f>
        <v>0.60331775403836896</v>
      </c>
    </row>
    <row r="34" spans="2:8" outlineLevel="1" x14ac:dyDescent="0.3">
      <c r="B34" t="s">
        <v>28</v>
      </c>
      <c r="C34">
        <f>SUM('Data Sheet'!F18,-'Data Sheet'!F19,'Data Sheet'!F20:F21)</f>
        <v>1675.41</v>
      </c>
      <c r="D34">
        <f>SUM('Data Sheet'!G18,-'Data Sheet'!G19,'Data Sheet'!G20:G21)</f>
        <v>2680.5699999999997</v>
      </c>
      <c r="E34">
        <f>SUM('Data Sheet'!H18,-'Data Sheet'!H19,'Data Sheet'!H20:H21)</f>
        <v>5076.0099999999993</v>
      </c>
      <c r="F34">
        <f>SUM('Data Sheet'!I18,-'Data Sheet'!I19,'Data Sheet'!I20:I21)</f>
        <v>7452.64</v>
      </c>
      <c r="G34">
        <f>SUM('Data Sheet'!J18,-'Data Sheet'!J19,'Data Sheet'!J20:J21)</f>
        <v>10408.800000000001</v>
      </c>
    </row>
    <row r="35" spans="2:8" outlineLevel="1" x14ac:dyDescent="0.3">
      <c r="B35" s="19" t="s">
        <v>29</v>
      </c>
      <c r="C35" s="24">
        <f>C34/C32</f>
        <v>0.64613800444279901</v>
      </c>
      <c r="D35" s="24">
        <f t="shared" ref="D35:G35" si="1">D34/D32</f>
        <v>0.59594443777484307</v>
      </c>
      <c r="E35" s="24">
        <f t="shared" si="1"/>
        <v>0.61586965331314403</v>
      </c>
      <c r="F35" s="24">
        <f t="shared" si="1"/>
        <v>0.60222818221413787</v>
      </c>
      <c r="G35" s="24">
        <f t="shared" si="1"/>
        <v>0.60747224477242268</v>
      </c>
      <c r="H35" s="24"/>
    </row>
    <row r="36" spans="2:8" outlineLevel="1" x14ac:dyDescent="0.3">
      <c r="B36" s="21" t="s">
        <v>30</v>
      </c>
      <c r="C36" s="22">
        <f t="shared" ref="C36:G36" si="2">C32-C34</f>
        <v>917.55</v>
      </c>
      <c r="D36" s="22">
        <f t="shared" si="2"/>
        <v>1817.4500000000007</v>
      </c>
      <c r="E36" s="22">
        <f t="shared" si="2"/>
        <v>3166.0100000000011</v>
      </c>
      <c r="F36" s="22">
        <f t="shared" si="2"/>
        <v>4922.47</v>
      </c>
      <c r="G36" s="22">
        <f t="shared" si="2"/>
        <v>6725.8099999999995</v>
      </c>
      <c r="H36" s="21"/>
    </row>
    <row r="37" spans="2:8" outlineLevel="1" x14ac:dyDescent="0.3">
      <c r="B37" s="21" t="s">
        <v>31</v>
      </c>
      <c r="C37" s="25">
        <f>C36/C32</f>
        <v>0.35386199555720099</v>
      </c>
      <c r="D37" s="25">
        <f t="shared" ref="D37:G37" si="3">D36/D32</f>
        <v>0.40405556222515698</v>
      </c>
      <c r="E37" s="25">
        <f t="shared" si="3"/>
        <v>0.38413034668685603</v>
      </c>
      <c r="F37" s="25">
        <f t="shared" si="3"/>
        <v>0.39777181778586213</v>
      </c>
      <c r="G37" s="25">
        <f t="shared" si="3"/>
        <v>0.39252775522757738</v>
      </c>
      <c r="H37" s="21"/>
    </row>
    <row r="38" spans="2:8" outlineLevel="1" x14ac:dyDescent="0.3">
      <c r="B38" t="s">
        <v>32</v>
      </c>
      <c r="C38">
        <f>SUM('Data Sheet'!F22:F24)</f>
        <v>803.68</v>
      </c>
      <c r="D38">
        <f>SUM('Data Sheet'!G22:G24)</f>
        <v>1222.73</v>
      </c>
      <c r="E38">
        <f>SUM('Data Sheet'!H22:H24)</f>
        <v>2051.8599999999997</v>
      </c>
      <c r="F38">
        <f>SUM('Data Sheet'!I22:I24)</f>
        <v>2951.7799999999997</v>
      </c>
      <c r="G38">
        <f>SUM('Data Sheet'!J22:J24)</f>
        <v>3905.85</v>
      </c>
    </row>
    <row r="39" spans="2:8" outlineLevel="1" x14ac:dyDescent="0.3">
      <c r="B39" t="s">
        <v>33</v>
      </c>
      <c r="C39" s="18">
        <f>C38/C32</f>
        <v>0.30994693323460443</v>
      </c>
      <c r="D39" s="18">
        <f t="shared" ref="D39:G39" si="4">D38/D32</f>
        <v>0.27183738622771797</v>
      </c>
      <c r="E39" s="18">
        <f t="shared" si="4"/>
        <v>0.24895110664618619</v>
      </c>
      <c r="F39" s="18">
        <f t="shared" si="4"/>
        <v>0.2385255565405075</v>
      </c>
      <c r="G39" s="18">
        <f t="shared" si="4"/>
        <v>0.22795091338524773</v>
      </c>
    </row>
    <row r="40" spans="2:8" outlineLevel="1" x14ac:dyDescent="0.3">
      <c r="B40" s="21" t="s">
        <v>34</v>
      </c>
      <c r="C40" s="22">
        <f>C36-C38</f>
        <v>113.87</v>
      </c>
      <c r="D40" s="22">
        <f t="shared" ref="D40:G40" si="5">D36-D38</f>
        <v>594.72000000000071</v>
      </c>
      <c r="E40" s="22">
        <f t="shared" si="5"/>
        <v>1114.1500000000015</v>
      </c>
      <c r="F40" s="22">
        <f t="shared" si="5"/>
        <v>1970.6900000000005</v>
      </c>
      <c r="G40" s="22">
        <f t="shared" si="5"/>
        <v>2819.9599999999996</v>
      </c>
      <c r="H40" s="21"/>
    </row>
    <row r="41" spans="2:8" outlineLevel="1" x14ac:dyDescent="0.3">
      <c r="B41" s="21" t="s">
        <v>31</v>
      </c>
      <c r="C41" s="23">
        <f>C40/C32</f>
        <v>4.3915062322596572E-2</v>
      </c>
      <c r="D41" s="23">
        <f t="shared" ref="D41:G41" si="6">D40/D32</f>
        <v>0.13221817599743901</v>
      </c>
      <c r="E41" s="23">
        <f t="shared" si="6"/>
        <v>0.13517924004066981</v>
      </c>
      <c r="F41" s="23">
        <f t="shared" si="6"/>
        <v>0.15924626124535463</v>
      </c>
      <c r="G41" s="23">
        <f t="shared" si="6"/>
        <v>0.16457684184232962</v>
      </c>
      <c r="H41" s="21"/>
    </row>
    <row r="42" spans="2:8" outlineLevel="1" x14ac:dyDescent="0.3">
      <c r="B42" t="s">
        <v>35</v>
      </c>
      <c r="C42">
        <f>'Data Sheet'!F26</f>
        <v>257.3</v>
      </c>
      <c r="D42">
        <f>'Data Sheet'!G26</f>
        <v>310.82</v>
      </c>
      <c r="E42">
        <f>'Data Sheet'!H26</f>
        <v>493.69</v>
      </c>
      <c r="F42">
        <f>'Data Sheet'!I26</f>
        <v>671.11</v>
      </c>
      <c r="G42">
        <f>'Data Sheet'!J26</f>
        <v>895.18</v>
      </c>
    </row>
    <row r="43" spans="2:8" outlineLevel="1" x14ac:dyDescent="0.3">
      <c r="B43" t="s">
        <v>36</v>
      </c>
      <c r="C43" s="16">
        <f>C42/C32</f>
        <v>9.9230223374058998E-2</v>
      </c>
      <c r="D43" s="16">
        <f t="shared" ref="D43:G43" si="7">D42/D32</f>
        <v>6.9101515778053443E-2</v>
      </c>
      <c r="E43" s="16">
        <f t="shared" si="7"/>
        <v>5.9899150936299592E-2</v>
      </c>
      <c r="F43" s="16">
        <f t="shared" si="7"/>
        <v>5.4230629061075009E-2</v>
      </c>
      <c r="G43" s="16">
        <f t="shared" si="7"/>
        <v>5.2243967035141149E-2</v>
      </c>
    </row>
    <row r="44" spans="2:8" outlineLevel="1" x14ac:dyDescent="0.3">
      <c r="B44" s="21" t="s">
        <v>37</v>
      </c>
      <c r="C44" s="22">
        <f>C40-C42</f>
        <v>-143.43</v>
      </c>
      <c r="D44" s="22">
        <f t="shared" ref="D44:G44" si="8">D40-D42</f>
        <v>283.90000000000072</v>
      </c>
      <c r="E44" s="22">
        <f t="shared" si="8"/>
        <v>620.4600000000014</v>
      </c>
      <c r="F44" s="22">
        <f t="shared" si="8"/>
        <v>1299.5800000000004</v>
      </c>
      <c r="G44" s="22">
        <f t="shared" si="8"/>
        <v>1924.7799999999997</v>
      </c>
      <c r="H44" s="21"/>
    </row>
    <row r="45" spans="2:8" outlineLevel="1" x14ac:dyDescent="0.3">
      <c r="B45" s="21" t="s">
        <v>31</v>
      </c>
      <c r="C45" s="25">
        <f>C44/C32</f>
        <v>-5.5315161051462426E-2</v>
      </c>
      <c r="D45" s="25">
        <f t="shared" ref="D45:G45" si="9">D44/D32</f>
        <v>6.311666021938557E-2</v>
      </c>
      <c r="E45" s="25">
        <f t="shared" si="9"/>
        <v>7.5280089104370215E-2</v>
      </c>
      <c r="F45" s="25">
        <f t="shared" si="9"/>
        <v>0.1050156321842796</v>
      </c>
      <c r="G45" s="25">
        <f t="shared" si="9"/>
        <v>0.11233287480718847</v>
      </c>
      <c r="H45" s="21"/>
    </row>
    <row r="46" spans="2:8" outlineLevel="1" x14ac:dyDescent="0.3">
      <c r="B46" t="s">
        <v>38</v>
      </c>
      <c r="C46">
        <f>'Data Sheet'!F25</f>
        <v>199.4</v>
      </c>
      <c r="D46">
        <f>'Data Sheet'!G25</f>
        <v>152.16</v>
      </c>
      <c r="E46">
        <f>'Data Sheet'!H25</f>
        <v>340.6</v>
      </c>
      <c r="F46">
        <f>'Data Sheet'!I25</f>
        <v>988.91</v>
      </c>
      <c r="G46">
        <f>'Data Sheet'!J25</f>
        <v>305.06</v>
      </c>
    </row>
    <row r="47" spans="2:8" outlineLevel="1" x14ac:dyDescent="0.3">
      <c r="B47" t="s">
        <v>39</v>
      </c>
      <c r="C47">
        <f>'Data Sheet'!F27</f>
        <v>260.79000000000002</v>
      </c>
      <c r="D47">
        <f>'Data Sheet'!G27</f>
        <v>324.83999999999997</v>
      </c>
      <c r="E47">
        <f>'Data Sheet'!H27</f>
        <v>408.99</v>
      </c>
      <c r="F47">
        <f>'Data Sheet'!I27</f>
        <v>367.66</v>
      </c>
      <c r="G47">
        <f>'Data Sheet'!J27</f>
        <v>200.1</v>
      </c>
    </row>
    <row r="48" spans="2:8" outlineLevel="1" x14ac:dyDescent="0.3">
      <c r="B48" t="s">
        <v>40</v>
      </c>
      <c r="C48" s="16">
        <f>C47/'Data Sheet'!F59</f>
        <v>8.7996814717086813E-2</v>
      </c>
      <c r="D48" s="16">
        <f>D47/'Data Sheet'!G59</f>
        <v>6.8743968713494849E-2</v>
      </c>
      <c r="E48" s="16">
        <f>E47/'Data Sheet'!H59</f>
        <v>9.1616750370732095E-2</v>
      </c>
      <c r="F48" s="16">
        <f>F47/'Data Sheet'!I59</f>
        <v>0.2097330846154285</v>
      </c>
      <c r="G48" s="16">
        <f>G47/'Data Sheet'!J59</f>
        <v>8.9442559639547822E-2</v>
      </c>
    </row>
    <row r="49" spans="2:8" outlineLevel="1" x14ac:dyDescent="0.3">
      <c r="B49" s="21" t="s">
        <v>41</v>
      </c>
      <c r="C49" s="22">
        <f>C44+C46-C47</f>
        <v>-204.82000000000002</v>
      </c>
      <c r="D49" s="22">
        <f t="shared" ref="D49:G49" si="10">D44+D46-D47</f>
        <v>111.22000000000077</v>
      </c>
      <c r="E49" s="22">
        <f t="shared" si="10"/>
        <v>552.07000000000141</v>
      </c>
      <c r="F49" s="22">
        <f t="shared" si="10"/>
        <v>1920.8300000000002</v>
      </c>
      <c r="G49" s="22">
        <f t="shared" si="10"/>
        <v>2029.7399999999998</v>
      </c>
      <c r="H49" s="21"/>
    </row>
    <row r="50" spans="2:8" outlineLevel="1" x14ac:dyDescent="0.3">
      <c r="B50" s="21" t="s">
        <v>29</v>
      </c>
      <c r="C50" s="25">
        <f t="shared" ref="C50:G50" si="11">C49/C32</f>
        <v>-7.899080587436752E-2</v>
      </c>
      <c r="D50" s="25">
        <f t="shared" si="11"/>
        <v>2.4726435187038018E-2</v>
      </c>
      <c r="E50" s="25">
        <f t="shared" si="11"/>
        <v>6.698236597339019E-2</v>
      </c>
      <c r="F50" s="25">
        <f t="shared" si="11"/>
        <v>0.15521720615008675</v>
      </c>
      <c r="G50" s="25">
        <f t="shared" si="11"/>
        <v>0.11845848840446323</v>
      </c>
      <c r="H50" s="21"/>
    </row>
    <row r="51" spans="2:8" outlineLevel="1" x14ac:dyDescent="0.3">
      <c r="B51" t="s">
        <v>42</v>
      </c>
      <c r="C51">
        <f>'Data Sheet'!F29</f>
        <v>-23.69</v>
      </c>
      <c r="D51">
        <f>'Data Sheet'!G29</f>
        <v>76.62</v>
      </c>
      <c r="E51">
        <f>'Data Sheet'!H29</f>
        <v>158.44</v>
      </c>
      <c r="F51">
        <f>'Data Sheet'!I29</f>
        <v>443.37</v>
      </c>
      <c r="G51">
        <f>'Data Sheet'!J29</f>
        <v>495.33</v>
      </c>
    </row>
    <row r="52" spans="2:8" outlineLevel="1" x14ac:dyDescent="0.3">
      <c r="B52" t="s">
        <v>43</v>
      </c>
      <c r="C52" s="18">
        <f t="shared" ref="C52:G52" si="12">C51/C49</f>
        <v>0.11566253295576603</v>
      </c>
      <c r="D52" s="18">
        <f t="shared" si="12"/>
        <v>0.68890487322423555</v>
      </c>
      <c r="E52" s="18">
        <f t="shared" si="12"/>
        <v>0.28699259151919065</v>
      </c>
      <c r="F52" s="18">
        <f t="shared" si="12"/>
        <v>0.23082209253291544</v>
      </c>
      <c r="G52" s="18">
        <f t="shared" si="12"/>
        <v>0.24403618197404595</v>
      </c>
    </row>
    <row r="53" spans="2:8" outlineLevel="1" x14ac:dyDescent="0.3">
      <c r="B53" s="21" t="s">
        <v>44</v>
      </c>
      <c r="C53" s="22">
        <f t="shared" ref="C53:G53" si="13">C49-C51</f>
        <v>-181.13000000000002</v>
      </c>
      <c r="D53" s="22">
        <f t="shared" si="13"/>
        <v>34.600000000000762</v>
      </c>
      <c r="E53" s="22">
        <f t="shared" si="13"/>
        <v>393.63000000000142</v>
      </c>
      <c r="F53" s="22">
        <f t="shared" si="13"/>
        <v>1477.46</v>
      </c>
      <c r="G53" s="22">
        <f t="shared" si="13"/>
        <v>1534.4099999999999</v>
      </c>
      <c r="H53" s="21"/>
    </row>
    <row r="54" spans="2:8" outlineLevel="1" x14ac:dyDescent="0.3">
      <c r="B54" s="21" t="s">
        <v>45</v>
      </c>
      <c r="C54" s="25">
        <f>C53/C32</f>
        <v>-6.9854529186720971E-2</v>
      </c>
      <c r="D54" s="25">
        <f t="shared" ref="D54:G54" si="14">D53/D32</f>
        <v>7.6922734892243159E-3</v>
      </c>
      <c r="E54" s="25">
        <f t="shared" si="14"/>
        <v>4.7758923176600084E-2</v>
      </c>
      <c r="F54" s="25">
        <f t="shared" si="14"/>
        <v>0.11938964582941081</v>
      </c>
      <c r="G54" s="25">
        <f t="shared" si="14"/>
        <v>8.9550331171821235E-2</v>
      </c>
      <c r="H54" s="21"/>
    </row>
    <row r="56" spans="2:8" ht="31.2" x14ac:dyDescent="0.6">
      <c r="B56" s="31" t="s">
        <v>46</v>
      </c>
    </row>
    <row r="57" spans="2:8" outlineLevel="1" x14ac:dyDescent="0.3">
      <c r="B57" s="13" t="s">
        <v>24</v>
      </c>
      <c r="C57" s="14">
        <v>44286</v>
      </c>
      <c r="D57" s="14">
        <v>44651</v>
      </c>
      <c r="E57" s="14">
        <v>45016</v>
      </c>
      <c r="F57" s="14">
        <v>45382</v>
      </c>
      <c r="G57" s="14">
        <v>45747</v>
      </c>
      <c r="H57" s="27"/>
    </row>
    <row r="58" spans="2:8" outlineLevel="1" x14ac:dyDescent="0.3">
      <c r="B58" t="s">
        <v>47</v>
      </c>
      <c r="C58">
        <f>'Data Sheet'!F57</f>
        <v>35.549999999999997</v>
      </c>
      <c r="D58">
        <f>'Data Sheet'!G57</f>
        <v>35.549999999999997</v>
      </c>
      <c r="E58">
        <f>'Data Sheet'!H57</f>
        <v>35.549999999999997</v>
      </c>
      <c r="F58">
        <f>'Data Sheet'!I57</f>
        <v>35.549999999999997</v>
      </c>
      <c r="G58">
        <f>'Data Sheet'!J57</f>
        <v>35.549999999999997</v>
      </c>
    </row>
    <row r="59" spans="2:8" outlineLevel="1" x14ac:dyDescent="0.3">
      <c r="B59" t="s">
        <v>48</v>
      </c>
      <c r="C59">
        <f>'Data Sheet'!F58</f>
        <v>2277.48</v>
      </c>
      <c r="D59">
        <f>'Data Sheet'!G58</f>
        <v>2328.4499999999998</v>
      </c>
      <c r="E59">
        <f>'Data Sheet'!H58</f>
        <v>2559.94</v>
      </c>
      <c r="F59">
        <f>'Data Sheet'!I58</f>
        <v>4032.19</v>
      </c>
      <c r="G59">
        <f>'Data Sheet'!J58</f>
        <v>5426.19</v>
      </c>
    </row>
    <row r="60" spans="2:8" outlineLevel="1" x14ac:dyDescent="0.3">
      <c r="B60" t="s">
        <v>49</v>
      </c>
      <c r="C60">
        <f>'Data Sheet'!F59</f>
        <v>2963.63</v>
      </c>
      <c r="D60">
        <f>'Data Sheet'!G59</f>
        <v>4725.3599999999997</v>
      </c>
      <c r="E60">
        <f>'Data Sheet'!H59</f>
        <v>4464.1400000000003</v>
      </c>
      <c r="F60">
        <f>'Data Sheet'!I59</f>
        <v>1752.99</v>
      </c>
      <c r="G60">
        <f>'Data Sheet'!J59</f>
        <v>2237.19</v>
      </c>
    </row>
    <row r="61" spans="2:8" outlineLevel="1" x14ac:dyDescent="0.3">
      <c r="B61" t="s">
        <v>50</v>
      </c>
      <c r="C61">
        <f>'Data Sheet'!F60</f>
        <v>447.07</v>
      </c>
      <c r="D61">
        <f>'Data Sheet'!G60</f>
        <v>636.66</v>
      </c>
      <c r="E61">
        <f>'Data Sheet'!H60</f>
        <v>1021.9</v>
      </c>
      <c r="F61">
        <f>'Data Sheet'!I60</f>
        <v>1341.02</v>
      </c>
      <c r="G61">
        <f>'Data Sheet'!J60</f>
        <v>1720.71</v>
      </c>
    </row>
    <row r="62" spans="2:8" outlineLevel="1" x14ac:dyDescent="0.3">
      <c r="B62" s="28" t="s">
        <v>51</v>
      </c>
      <c r="C62" s="29">
        <f>SUM(C58:C61)</f>
        <v>5723.73</v>
      </c>
      <c r="D62" s="29">
        <f t="shared" ref="D62:G62" si="15">SUM(D58:D61)</f>
        <v>7726.0199999999995</v>
      </c>
      <c r="E62" s="29">
        <f t="shared" si="15"/>
        <v>8081.5300000000007</v>
      </c>
      <c r="F62" s="29">
        <f t="shared" si="15"/>
        <v>7161.75</v>
      </c>
      <c r="G62" s="29">
        <f t="shared" si="15"/>
        <v>9419.64</v>
      </c>
    </row>
    <row r="63" spans="2:8" outlineLevel="1" x14ac:dyDescent="0.3">
      <c r="B63" s="76" t="s">
        <v>52</v>
      </c>
      <c r="C63">
        <f>'Data Sheet'!F62</f>
        <v>3053.82</v>
      </c>
      <c r="D63">
        <f>'Data Sheet'!G62</f>
        <v>4686.71</v>
      </c>
      <c r="E63">
        <f>'Data Sheet'!H62</f>
        <v>4526.95</v>
      </c>
      <c r="F63">
        <f>'Data Sheet'!I62</f>
        <v>2449.92</v>
      </c>
      <c r="G63">
        <f>'Data Sheet'!J62</f>
        <v>3895.13</v>
      </c>
    </row>
    <row r="64" spans="2:8" outlineLevel="1" x14ac:dyDescent="0.3">
      <c r="B64" s="76" t="s">
        <v>168</v>
      </c>
      <c r="C64">
        <f>'Data Sheet'!F63</f>
        <v>107.98</v>
      </c>
      <c r="D64">
        <f>'Data Sheet'!G63</f>
        <v>104.72</v>
      </c>
      <c r="E64">
        <f>'Data Sheet'!H63</f>
        <v>101.72</v>
      </c>
      <c r="F64">
        <f>'Data Sheet'!I63</f>
        <v>223.78</v>
      </c>
      <c r="G64">
        <f>'Data Sheet'!J63</f>
        <v>179.5</v>
      </c>
    </row>
    <row r="65" spans="2:7" outlineLevel="1" x14ac:dyDescent="0.3">
      <c r="B65" s="76" t="s">
        <v>53</v>
      </c>
      <c r="C65">
        <f>'Data Sheet'!F64</f>
        <v>1487.29</v>
      </c>
      <c r="D65">
        <f>'Data Sheet'!G64</f>
        <v>1283.72</v>
      </c>
      <c r="E65">
        <f>'Data Sheet'!H64</f>
        <v>1109.8699999999999</v>
      </c>
      <c r="F65">
        <f>'Data Sheet'!I64</f>
        <v>1416.03</v>
      </c>
      <c r="G65">
        <f>'Data Sheet'!J64</f>
        <v>1480.25</v>
      </c>
    </row>
    <row r="66" spans="2:7" outlineLevel="1" x14ac:dyDescent="0.3">
      <c r="B66" s="76" t="s">
        <v>56</v>
      </c>
      <c r="C66">
        <f>'Data Sheet'!F67</f>
        <v>20.77</v>
      </c>
      <c r="D66">
        <f>'Data Sheet'!G67</f>
        <v>18.260000000000002</v>
      </c>
      <c r="E66">
        <f>'Data Sheet'!H67</f>
        <v>34.39</v>
      </c>
      <c r="F66">
        <f>'Data Sheet'!I67</f>
        <v>81.739999999999995</v>
      </c>
      <c r="G66">
        <f>'Data Sheet'!J67</f>
        <v>62.95</v>
      </c>
    </row>
    <row r="67" spans="2:7" outlineLevel="1" x14ac:dyDescent="0.3">
      <c r="B67" t="s">
        <v>54</v>
      </c>
      <c r="C67">
        <f>'Data Sheet'!F68</f>
        <v>428.39</v>
      </c>
      <c r="D67">
        <f>'Data Sheet'!G68</f>
        <v>867.78</v>
      </c>
      <c r="E67">
        <f>'Data Sheet'!H68</f>
        <v>1361.16</v>
      </c>
      <c r="F67">
        <f>'Data Sheet'!I68</f>
        <v>1582.73</v>
      </c>
      <c r="G67">
        <f>'Data Sheet'!J68</f>
        <v>2045.05</v>
      </c>
    </row>
    <row r="68" spans="2:7" outlineLevel="1" x14ac:dyDescent="0.3">
      <c r="B68" t="s">
        <v>55</v>
      </c>
      <c r="C68">
        <f>'Data Sheet'!F69</f>
        <v>81.47</v>
      </c>
      <c r="D68">
        <f>'Data Sheet'!G69</f>
        <v>85.97</v>
      </c>
      <c r="E68">
        <f>'Data Sheet'!H69</f>
        <v>86.3</v>
      </c>
      <c r="F68">
        <f>'Data Sheet'!I69</f>
        <v>297.56</v>
      </c>
      <c r="G68">
        <f>'Data Sheet'!J69</f>
        <v>339.84</v>
      </c>
    </row>
    <row r="69" spans="2:7" outlineLevel="1" x14ac:dyDescent="0.3">
      <c r="B69" t="s">
        <v>56</v>
      </c>
      <c r="C69" s="30">
        <f>'Data Sheet'!F65-SUM('Data Sheet'!F67:F69)</f>
        <v>544.0100000000001</v>
      </c>
      <c r="D69" s="30">
        <f>'Data Sheet'!G65-SUM('Data Sheet'!G67:G69)</f>
        <v>678.8599999999999</v>
      </c>
      <c r="E69" s="30">
        <f>'Data Sheet'!H65-SUM('Data Sheet'!H67:H69)</f>
        <v>861.13999999999965</v>
      </c>
      <c r="F69" s="30">
        <f>'Data Sheet'!I65-SUM('Data Sheet'!I67:I69)</f>
        <v>1109.99</v>
      </c>
      <c r="G69" s="30">
        <f>'Data Sheet'!J65-SUM('Data Sheet'!J67:J69)</f>
        <v>1416.92</v>
      </c>
    </row>
    <row r="70" spans="2:7" outlineLevel="1" x14ac:dyDescent="0.3">
      <c r="B70" s="28" t="s">
        <v>51</v>
      </c>
      <c r="C70" s="29">
        <f>SUM(C63:C69)</f>
        <v>5723.7300000000014</v>
      </c>
      <c r="D70" s="29">
        <f t="shared" ref="D70:G70" si="16">SUM(D63:D69)</f>
        <v>7726.02</v>
      </c>
      <c r="E70" s="29">
        <f t="shared" si="16"/>
        <v>8081.53</v>
      </c>
      <c r="F70" s="29">
        <f t="shared" si="16"/>
        <v>7161.7500000000009</v>
      </c>
      <c r="G70" s="29">
        <f t="shared" si="16"/>
        <v>9419.64</v>
      </c>
    </row>
    <row r="72" spans="2:7" ht="31.2" x14ac:dyDescent="0.6">
      <c r="B72" s="31" t="s">
        <v>57</v>
      </c>
      <c r="C72" s="40"/>
      <c r="D72" s="40"/>
    </row>
    <row r="73" spans="2:7" outlineLevel="1" x14ac:dyDescent="0.3">
      <c r="B73" s="32" t="s">
        <v>58</v>
      </c>
      <c r="C73" s="32" t="s">
        <v>59</v>
      </c>
      <c r="D73" s="32" t="s">
        <v>60</v>
      </c>
      <c r="E73" s="32" t="s">
        <v>61</v>
      </c>
      <c r="F73" s="32" t="s">
        <v>62</v>
      </c>
      <c r="G73" s="32" t="s">
        <v>63</v>
      </c>
    </row>
    <row r="74" spans="2:7" outlineLevel="1" x14ac:dyDescent="0.3">
      <c r="B74" t="s">
        <v>64</v>
      </c>
      <c r="C74" s="16" cm="1">
        <f t="array" ref="C74:G74">CHOOSE(D76,C77:G77,C78:G78,C79:G79)</f>
        <v>0.2</v>
      </c>
      <c r="D74" s="16">
        <v>0.18000000000000002</v>
      </c>
      <c r="E74" s="16">
        <v>0.16000000000000003</v>
      </c>
      <c r="F74" s="16">
        <v>0.14000000000000004</v>
      </c>
      <c r="G74" s="16">
        <v>0.12000000000000004</v>
      </c>
    </row>
    <row r="75" spans="2:7" outlineLevel="1" x14ac:dyDescent="0.3">
      <c r="B75" t="s">
        <v>65</v>
      </c>
      <c r="C75" s="34">
        <f>G32*(1+C74)</f>
        <v>20561.531999999999</v>
      </c>
      <c r="D75" s="34">
        <f>C75*(1+D74)</f>
        <v>24262.607759999999</v>
      </c>
      <c r="E75" s="34">
        <f t="shared" ref="E75:G75" si="17">D75*(1+E74)</f>
        <v>28144.625001600001</v>
      </c>
      <c r="F75" s="34">
        <f t="shared" si="17"/>
        <v>32084.872501824004</v>
      </c>
      <c r="G75" s="34">
        <f t="shared" si="17"/>
        <v>35935.057202042888</v>
      </c>
    </row>
    <row r="76" spans="2:7" outlineLevel="1" x14ac:dyDescent="0.3">
      <c r="B76" t="s">
        <v>66</v>
      </c>
      <c r="C76" s="35" t="s">
        <v>67</v>
      </c>
      <c r="D76" s="33">
        <f>MATCH(C76,B77:B79)</f>
        <v>1</v>
      </c>
    </row>
    <row r="77" spans="2:7" outlineLevel="1" x14ac:dyDescent="0.3">
      <c r="B77" t="s">
        <v>67</v>
      </c>
      <c r="C77" s="16">
        <f>C20</f>
        <v>0.2</v>
      </c>
      <c r="D77" s="16">
        <f>C77-Taper_rate</f>
        <v>0.18000000000000002</v>
      </c>
      <c r="E77" s="16">
        <f t="shared" ref="D77:G79" si="18">D77-Taper_rate</f>
        <v>0.16000000000000003</v>
      </c>
      <c r="F77" s="16">
        <f t="shared" si="18"/>
        <v>0.14000000000000004</v>
      </c>
      <c r="G77" s="16">
        <f t="shared" si="18"/>
        <v>0.12000000000000004</v>
      </c>
    </row>
    <row r="78" spans="2:7" outlineLevel="1" x14ac:dyDescent="0.3">
      <c r="B78" t="s">
        <v>68</v>
      </c>
      <c r="C78" s="16">
        <f>C77+5%</f>
        <v>0.25</v>
      </c>
      <c r="D78" s="16">
        <f t="shared" si="18"/>
        <v>0.23</v>
      </c>
      <c r="E78" s="16">
        <f>D78-Taper_rate</f>
        <v>0.21000000000000002</v>
      </c>
      <c r="F78" s="16">
        <f t="shared" si="18"/>
        <v>0.19000000000000003</v>
      </c>
      <c r="G78" s="16">
        <f t="shared" si="18"/>
        <v>0.17000000000000004</v>
      </c>
    </row>
    <row r="79" spans="2:7" outlineLevel="1" x14ac:dyDescent="0.3">
      <c r="B79" t="s">
        <v>69</v>
      </c>
      <c r="C79" s="16">
        <f>C77-5%</f>
        <v>0.15000000000000002</v>
      </c>
      <c r="D79" s="16">
        <f t="shared" si="18"/>
        <v>0.13000000000000003</v>
      </c>
      <c r="E79" s="16">
        <f t="shared" si="18"/>
        <v>0.11000000000000003</v>
      </c>
      <c r="F79" s="16">
        <f t="shared" si="18"/>
        <v>9.0000000000000024E-2</v>
      </c>
      <c r="G79" s="16">
        <f t="shared" si="18"/>
        <v>7.0000000000000021E-2</v>
      </c>
    </row>
    <row r="80" spans="2:7" outlineLevel="1" x14ac:dyDescent="0.3"/>
    <row r="82" spans="2:7" ht="31.2" x14ac:dyDescent="0.6">
      <c r="B82" s="31" t="s">
        <v>70</v>
      </c>
    </row>
    <row r="83" spans="2:7" outlineLevel="1" x14ac:dyDescent="0.3">
      <c r="C83" s="32" t="s">
        <v>59</v>
      </c>
      <c r="D83" s="32" t="s">
        <v>60</v>
      </c>
      <c r="E83" s="32" t="s">
        <v>61</v>
      </c>
      <c r="F83" s="32" t="s">
        <v>62</v>
      </c>
      <c r="G83" s="32" t="s">
        <v>63</v>
      </c>
    </row>
    <row r="84" spans="2:7" outlineLevel="1" x14ac:dyDescent="0.3">
      <c r="B84" t="s">
        <v>71</v>
      </c>
      <c r="C84" s="34">
        <f>C75</f>
        <v>20561.531999999999</v>
      </c>
      <c r="D84" s="34">
        <f>D75</f>
        <v>24262.607759999999</v>
      </c>
      <c r="E84" s="34">
        <f>E75</f>
        <v>28144.625001600001</v>
      </c>
      <c r="F84" s="34">
        <f>F75</f>
        <v>32084.872501824004</v>
      </c>
      <c r="G84" s="34">
        <f>G75</f>
        <v>35935.057202042888</v>
      </c>
    </row>
    <row r="85" spans="2:7" outlineLevel="1" x14ac:dyDescent="0.3">
      <c r="B85" t="s">
        <v>72</v>
      </c>
      <c r="C85" s="16">
        <f>G41</f>
        <v>0.16457684184232962</v>
      </c>
      <c r="D85" s="16">
        <f t="shared" ref="D85:G85" si="19">C85</f>
        <v>0.16457684184232962</v>
      </c>
      <c r="E85" s="16">
        <f t="shared" si="19"/>
        <v>0.16457684184232962</v>
      </c>
      <c r="F85" s="16">
        <f>E85</f>
        <v>0.16457684184232962</v>
      </c>
      <c r="G85" s="16">
        <f t="shared" si="19"/>
        <v>0.16457684184232962</v>
      </c>
    </row>
    <row r="86" spans="2:7" outlineLevel="1" x14ac:dyDescent="0.3">
      <c r="B86" t="s">
        <v>34</v>
      </c>
      <c r="C86" s="34">
        <f>C84*C85</f>
        <v>3383.9519999999993</v>
      </c>
      <c r="D86" s="34">
        <f t="shared" ref="D86:G86" si="20">D84*D85</f>
        <v>3993.0633599999992</v>
      </c>
      <c r="E86" s="34">
        <f t="shared" si="20"/>
        <v>4631.9534975999995</v>
      </c>
      <c r="F86" s="34">
        <f t="shared" si="20"/>
        <v>5280.4269872639998</v>
      </c>
      <c r="G86" s="34">
        <f t="shared" si="20"/>
        <v>5914.0782257356805</v>
      </c>
    </row>
    <row r="87" spans="2:7" outlineLevel="1" x14ac:dyDescent="0.3">
      <c r="B87" t="s">
        <v>73</v>
      </c>
      <c r="C87" s="34">
        <f>C84*AVERAGE($C$43:$G$43)</f>
        <v>1376.4115129521581</v>
      </c>
      <c r="D87" s="34">
        <f t="shared" ref="D87:G87" si="21">D84*AVERAGE($C$43:$G$43)</f>
        <v>1624.1655852835465</v>
      </c>
      <c r="E87" s="34">
        <f t="shared" si="21"/>
        <v>1884.032078928914</v>
      </c>
      <c r="F87" s="34">
        <f t="shared" si="21"/>
        <v>2147.796569978962</v>
      </c>
      <c r="G87" s="34">
        <f t="shared" si="21"/>
        <v>2405.532158376438</v>
      </c>
    </row>
    <row r="88" spans="2:7" outlineLevel="1" x14ac:dyDescent="0.3">
      <c r="B88" t="s">
        <v>37</v>
      </c>
      <c r="C88" s="34">
        <f t="shared" ref="C88:G88" si="22">C86-C87</f>
        <v>2007.5404870478412</v>
      </c>
      <c r="D88" s="34">
        <f t="shared" si="22"/>
        <v>2368.8977747164527</v>
      </c>
      <c r="E88" s="34">
        <f t="shared" si="22"/>
        <v>2747.9214186710856</v>
      </c>
      <c r="F88" s="34">
        <f t="shared" si="22"/>
        <v>3132.6304172850378</v>
      </c>
      <c r="G88" s="34">
        <f t="shared" si="22"/>
        <v>3508.5460673592424</v>
      </c>
    </row>
    <row r="89" spans="2:7" outlineLevel="1" x14ac:dyDescent="0.3">
      <c r="B89" t="s">
        <v>74</v>
      </c>
      <c r="C89" s="34" cm="1">
        <f t="array" ref="C89">C88*Tax_rate</f>
        <v>501.88512176196031</v>
      </c>
      <c r="D89" s="34" cm="1">
        <f t="array" ref="D89">D88*Tax_rate</f>
        <v>592.22444367911316</v>
      </c>
      <c r="E89" s="34" cm="1">
        <f t="array" ref="E89">E88*Tax_rate</f>
        <v>686.98035466777139</v>
      </c>
      <c r="F89" s="34" cm="1">
        <f t="array" ref="F89">F88*Tax_rate</f>
        <v>783.15760432125944</v>
      </c>
      <c r="G89" s="34" cm="1">
        <f t="array" ref="G89">G88*Tax_rate</f>
        <v>877.13651683981061</v>
      </c>
    </row>
    <row r="90" spans="2:7" outlineLevel="1" x14ac:dyDescent="0.3">
      <c r="B90" t="s">
        <v>75</v>
      </c>
      <c r="C90" s="34">
        <f t="shared" ref="C90:G90" si="23">C88-C89</f>
        <v>1505.6553652858809</v>
      </c>
      <c r="D90" s="34">
        <f t="shared" si="23"/>
        <v>1776.6733310373395</v>
      </c>
      <c r="E90" s="34">
        <f t="shared" si="23"/>
        <v>2060.9410640033143</v>
      </c>
      <c r="F90" s="34">
        <f t="shared" si="23"/>
        <v>2349.4728129637783</v>
      </c>
      <c r="G90" s="34">
        <f t="shared" si="23"/>
        <v>2631.4095505194318</v>
      </c>
    </row>
    <row r="91" spans="2:7" outlineLevel="1" x14ac:dyDescent="0.3">
      <c r="B91" t="s">
        <v>76</v>
      </c>
      <c r="C91" s="34">
        <f t="shared" ref="C91:G91" si="24">C87</f>
        <v>1376.4115129521581</v>
      </c>
      <c r="D91" s="34">
        <f t="shared" si="24"/>
        <v>1624.1655852835465</v>
      </c>
      <c r="E91" s="34">
        <f t="shared" si="24"/>
        <v>1884.032078928914</v>
      </c>
      <c r="F91" s="34">
        <f t="shared" si="24"/>
        <v>2147.796569978962</v>
      </c>
      <c r="G91" s="34">
        <f t="shared" si="24"/>
        <v>2405.532158376438</v>
      </c>
    </row>
    <row r="92" spans="2:7" outlineLevel="1" x14ac:dyDescent="0.3">
      <c r="B92" t="s">
        <v>77</v>
      </c>
      <c r="C92" s="34">
        <f>C90*-50%</f>
        <v>-752.82768264294043</v>
      </c>
      <c r="D92" s="34">
        <f t="shared" ref="D92:G92" si="25">D90*-50%</f>
        <v>-888.33666551866975</v>
      </c>
      <c r="E92" s="34">
        <f t="shared" si="25"/>
        <v>-1030.4705320016571</v>
      </c>
      <c r="F92" s="34">
        <f t="shared" si="25"/>
        <v>-1174.7364064818892</v>
      </c>
      <c r="G92" s="34">
        <f t="shared" si="25"/>
        <v>-1315.7047752597159</v>
      </c>
    </row>
    <row r="93" spans="2:7" outlineLevel="1" x14ac:dyDescent="0.3">
      <c r="B93" s="38" t="s">
        <v>78</v>
      </c>
      <c r="C93" s="39">
        <f>SUM(C90:C92)</f>
        <v>2129.2391955950984</v>
      </c>
      <c r="D93" s="39">
        <f t="shared" ref="D93:G93" si="26">SUM(D90:D92)</f>
        <v>2512.5022508022162</v>
      </c>
      <c r="E93" s="39">
        <f t="shared" si="26"/>
        <v>2914.5026109305709</v>
      </c>
      <c r="F93" s="39">
        <f t="shared" si="26"/>
        <v>3322.5329764608514</v>
      </c>
      <c r="G93" s="39">
        <f t="shared" si="26"/>
        <v>3721.2369336361539</v>
      </c>
    </row>
    <row r="95" spans="2:7" ht="31.2" x14ac:dyDescent="0.6">
      <c r="B95" s="31" t="s">
        <v>79</v>
      </c>
      <c r="G95" s="53"/>
    </row>
    <row r="97" spans="2:3" outlineLevel="1" x14ac:dyDescent="0.3">
      <c r="B97" s="32" t="s">
        <v>80</v>
      </c>
      <c r="C97" s="41"/>
    </row>
    <row r="98" spans="2:3" outlineLevel="1" x14ac:dyDescent="0.3">
      <c r="B98" t="s">
        <v>81</v>
      </c>
      <c r="C98" s="16">
        <f>Comps!G21</f>
        <v>7.1924563061052299E-2</v>
      </c>
    </row>
    <row r="99" spans="2:3" outlineLevel="1" x14ac:dyDescent="0.3">
      <c r="B99" t="s">
        <v>82</v>
      </c>
      <c r="C99" s="16">
        <f>1-C98</f>
        <v>0.92807543693894767</v>
      </c>
    </row>
    <row r="100" spans="2:3" outlineLevel="1" x14ac:dyDescent="0.3">
      <c r="B100" s="32" t="s">
        <v>83</v>
      </c>
      <c r="C100" s="41"/>
    </row>
    <row r="101" spans="2:3" outlineLevel="1" x14ac:dyDescent="0.3">
      <c r="B101" t="s">
        <v>84</v>
      </c>
      <c r="C101">
        <f>Comps!E7</f>
        <v>160446.92000000001</v>
      </c>
    </row>
    <row r="102" spans="2:3" outlineLevel="1" x14ac:dyDescent="0.3">
      <c r="B102" t="s">
        <v>85</v>
      </c>
      <c r="C102">
        <f>Comps!F7</f>
        <v>2561.25</v>
      </c>
    </row>
    <row r="103" spans="2:3" outlineLevel="1" x14ac:dyDescent="0.3">
      <c r="B103" t="s">
        <v>86</v>
      </c>
      <c r="C103" s="18">
        <f>C102/C101</f>
        <v>1.5963223226721959E-2</v>
      </c>
    </row>
    <row r="104" spans="2:3" outlineLevel="1" x14ac:dyDescent="0.3">
      <c r="B104" s="32" t="s">
        <v>87</v>
      </c>
      <c r="C104" s="41"/>
    </row>
    <row r="105" spans="2:3" outlineLevel="1" x14ac:dyDescent="0.3">
      <c r="B105" t="s">
        <v>88</v>
      </c>
      <c r="C105" s="16">
        <v>7.0000000000000007E-2</v>
      </c>
    </row>
    <row r="106" spans="2:3" outlineLevel="1" x14ac:dyDescent="0.3">
      <c r="B106" t="s">
        <v>89</v>
      </c>
      <c r="C106" s="16" cm="1">
        <f t="array" ref="C106">Tax_rate</f>
        <v>0.25</v>
      </c>
    </row>
    <row r="107" spans="2:3" outlineLevel="1" x14ac:dyDescent="0.3">
      <c r="B107" t="s">
        <v>90</v>
      </c>
      <c r="C107" s="18">
        <f>C105*(1-C106)</f>
        <v>5.2500000000000005E-2</v>
      </c>
    </row>
    <row r="108" spans="2:3" outlineLevel="1" x14ac:dyDescent="0.3">
      <c r="B108" s="32" t="s">
        <v>91</v>
      </c>
      <c r="C108" s="32"/>
    </row>
    <row r="109" spans="2:3" outlineLevel="1" x14ac:dyDescent="0.3">
      <c r="B109" t="s">
        <v>92</v>
      </c>
      <c r="C109" s="50">
        <f>C25</f>
        <v>6.5000000000000002E-2</v>
      </c>
    </row>
    <row r="110" spans="2:3" outlineLevel="1" x14ac:dyDescent="0.3">
      <c r="B110" t="s">
        <v>93</v>
      </c>
      <c r="C110" s="18">
        <f>C26</f>
        <v>5.4999999999999993E-2</v>
      </c>
    </row>
    <row r="111" spans="2:3" outlineLevel="1" x14ac:dyDescent="0.3">
      <c r="B111" t="s">
        <v>94</v>
      </c>
      <c r="C111" s="45" cm="1">
        <f t="array" ref="C111">Comps!J21*(1+'DCF Model'!C103*(1-Tax_rate))</f>
        <v>0.49496193231355129</v>
      </c>
    </row>
    <row r="112" spans="2:3" outlineLevel="1" x14ac:dyDescent="0.3">
      <c r="B112" t="s">
        <v>91</v>
      </c>
      <c r="C112" s="49">
        <f>C109+C111*C110</f>
        <v>9.2222906277245317E-2</v>
      </c>
    </row>
    <row r="113" spans="2:9" ht="18" outlineLevel="1" x14ac:dyDescent="0.35">
      <c r="B113" s="51" t="s">
        <v>95</v>
      </c>
      <c r="C113" s="52">
        <f>(C112*C99)+(C107*C98)</f>
        <v>8.9365853599739309E-2</v>
      </c>
    </row>
    <row r="115" spans="2:9" ht="31.2" x14ac:dyDescent="0.6">
      <c r="B115" s="31" t="s">
        <v>96</v>
      </c>
    </row>
    <row r="117" spans="2:9" outlineLevel="1" x14ac:dyDescent="0.3">
      <c r="B117" s="54" t="s">
        <v>97</v>
      </c>
      <c r="C117" s="55">
        <f>G93</f>
        <v>3721.2369336361539</v>
      </c>
      <c r="D117" s="54"/>
      <c r="E117" s="54"/>
      <c r="F117" s="54"/>
    </row>
    <row r="118" spans="2:9" outlineLevel="1" x14ac:dyDescent="0.3">
      <c r="B118" s="56" t="s">
        <v>15</v>
      </c>
      <c r="C118" s="57">
        <f>C23</f>
        <v>0.06</v>
      </c>
    </row>
    <row r="119" spans="2:9" outlineLevel="1" x14ac:dyDescent="0.3">
      <c r="B119" t="s">
        <v>98</v>
      </c>
    </row>
    <row r="120" spans="2:9" outlineLevel="1" x14ac:dyDescent="0.3">
      <c r="B120" t="s">
        <v>96</v>
      </c>
      <c r="C120">
        <f>C117*(1+C118)/(C113-C118)</f>
        <v>134323.0543684703</v>
      </c>
    </row>
    <row r="121" spans="2:9" outlineLevel="1" x14ac:dyDescent="0.3"/>
    <row r="122" spans="2:9" ht="31.2" x14ac:dyDescent="0.6">
      <c r="B122" s="31" t="s">
        <v>99</v>
      </c>
    </row>
    <row r="124" spans="2:9" outlineLevel="1" x14ac:dyDescent="0.3">
      <c r="B124" s="32" t="s">
        <v>100</v>
      </c>
      <c r="C124" s="32" t="s">
        <v>59</v>
      </c>
      <c r="D124" s="32" t="s">
        <v>60</v>
      </c>
      <c r="E124" s="32" t="s">
        <v>61</v>
      </c>
      <c r="F124" s="32" t="s">
        <v>62</v>
      </c>
      <c r="G124" s="32" t="s">
        <v>63</v>
      </c>
      <c r="H124" s="32" t="s">
        <v>96</v>
      </c>
    </row>
    <row r="125" spans="2:9" outlineLevel="1" x14ac:dyDescent="0.3">
      <c r="B125" t="s">
        <v>101</v>
      </c>
      <c r="C125" s="34">
        <f t="shared" ref="C125:G125" si="27">C93</f>
        <v>2129.2391955950984</v>
      </c>
      <c r="D125" s="34">
        <f t="shared" si="27"/>
        <v>2512.5022508022162</v>
      </c>
      <c r="E125" s="34">
        <f t="shared" si="27"/>
        <v>2914.5026109305709</v>
      </c>
      <c r="F125" s="34">
        <f t="shared" si="27"/>
        <v>3322.5329764608514</v>
      </c>
      <c r="G125" s="34">
        <f t="shared" si="27"/>
        <v>3721.2369336361539</v>
      </c>
      <c r="H125" s="34">
        <f>C120</f>
        <v>134323.0543684703</v>
      </c>
    </row>
    <row r="126" spans="2:9" outlineLevel="1" x14ac:dyDescent="0.3">
      <c r="B126" t="s">
        <v>102</v>
      </c>
      <c r="C126" s="45">
        <f>1/(1+$C$113)^1</f>
        <v>0.91796525170636145</v>
      </c>
      <c r="D126" s="45">
        <f>1/(1+$C$113)^2</f>
        <v>0.84266020334032365</v>
      </c>
      <c r="E126" s="45">
        <f>1/(1+$C$113)^3</f>
        <v>0.77353278566223405</v>
      </c>
      <c r="F126" s="45">
        <f>1/(1+$C$113)^4</f>
        <v>0.71007621829355561</v>
      </c>
      <c r="G126" s="45">
        <f>1/(1+$C$113)^5</f>
        <v>0.65182529445654502</v>
      </c>
      <c r="H126" s="45">
        <f>G126</f>
        <v>0.65182529445654502</v>
      </c>
    </row>
    <row r="127" spans="2:9" outlineLevel="1" x14ac:dyDescent="0.3">
      <c r="B127" t="s">
        <v>103</v>
      </c>
      <c r="C127" s="34">
        <f>C125*C126</f>
        <v>1954.5675941275051</v>
      </c>
      <c r="D127" s="34">
        <f t="shared" ref="D127:G127" si="28">D125*D126</f>
        <v>2117.1856575540164</v>
      </c>
      <c r="E127" s="34">
        <f t="shared" si="28"/>
        <v>2254.4633234529788</v>
      </c>
      <c r="F127" s="34">
        <f t="shared" si="28"/>
        <v>2359.2516510809523</v>
      </c>
      <c r="G127" s="34">
        <f t="shared" si="28"/>
        <v>2425.5963600099567</v>
      </c>
      <c r="H127" s="34">
        <f>H125*H126</f>
        <v>87555.164466030663</v>
      </c>
      <c r="I127" s="34"/>
    </row>
    <row r="128" spans="2:9" outlineLevel="1" x14ac:dyDescent="0.3"/>
    <row r="129" spans="2:2" ht="31.2" x14ac:dyDescent="0.6">
      <c r="B129" s="31" t="s">
        <v>104</v>
      </c>
    </row>
    <row r="131" spans="2:2" ht="18" outlineLevel="1" x14ac:dyDescent="0.35">
      <c r="B131" s="58" t="s">
        <v>105</v>
      </c>
    </row>
    <row r="132" spans="2:2" outlineLevel="1" x14ac:dyDescent="0.3"/>
    <row r="133" spans="2:2" ht="18" outlineLevel="1" x14ac:dyDescent="0.35">
      <c r="B133" s="61">
        <f>SUM(C127:G127)</f>
        <v>11111.06458622541</v>
      </c>
    </row>
    <row r="134" spans="2:2" outlineLevel="1" x14ac:dyDescent="0.3">
      <c r="B134" s="59"/>
    </row>
    <row r="135" spans="2:2" outlineLevel="1" x14ac:dyDescent="0.3"/>
    <row r="136" spans="2:2" ht="18" outlineLevel="1" x14ac:dyDescent="0.35">
      <c r="B136" s="58" t="s">
        <v>106</v>
      </c>
    </row>
    <row r="137" spans="2:2" outlineLevel="1" x14ac:dyDescent="0.3"/>
    <row r="138" spans="2:2" ht="18" outlineLevel="1" x14ac:dyDescent="0.35">
      <c r="B138" s="61">
        <f>H127</f>
        <v>87555.164466030663</v>
      </c>
    </row>
    <row r="139" spans="2:2" outlineLevel="1" x14ac:dyDescent="0.3">
      <c r="B139" s="60"/>
    </row>
    <row r="140" spans="2:2" outlineLevel="1" x14ac:dyDescent="0.3"/>
    <row r="141" spans="2:2" ht="18" outlineLevel="1" x14ac:dyDescent="0.35">
      <c r="B141" s="58" t="s">
        <v>107</v>
      </c>
    </row>
    <row r="142" spans="2:2" outlineLevel="1" x14ac:dyDescent="0.3"/>
    <row r="143" spans="2:2" ht="18" outlineLevel="1" x14ac:dyDescent="0.35">
      <c r="B143" s="61">
        <f>B133+B138</f>
        <v>98666.229052256065</v>
      </c>
    </row>
    <row r="144" spans="2:2" outlineLevel="1" x14ac:dyDescent="0.3">
      <c r="B144" s="60"/>
    </row>
    <row r="145" spans="2:8" outlineLevel="1" x14ac:dyDescent="0.3">
      <c r="B145" t="s">
        <v>107</v>
      </c>
      <c r="C145" s="34">
        <f>B143</f>
        <v>98666.229052256065</v>
      </c>
    </row>
    <row r="146" spans="2:8" outlineLevel="1" x14ac:dyDescent="0.3">
      <c r="B146" t="s">
        <v>108</v>
      </c>
      <c r="C146">
        <f>C102</f>
        <v>2561.25</v>
      </c>
    </row>
    <row r="147" spans="2:8" outlineLevel="1" x14ac:dyDescent="0.3">
      <c r="B147" t="s">
        <v>109</v>
      </c>
      <c r="C147">
        <f>Comps!J7</f>
        <v>283</v>
      </c>
    </row>
    <row r="148" spans="2:8" ht="15.6" outlineLevel="1" x14ac:dyDescent="0.3">
      <c r="B148" s="66" t="s">
        <v>110</v>
      </c>
      <c r="C148" s="63">
        <f>C145-C146+C147</f>
        <v>96387.979052256065</v>
      </c>
    </row>
    <row r="149" spans="2:8" outlineLevel="1" x14ac:dyDescent="0.3">
      <c r="B149" t="s">
        <v>111</v>
      </c>
      <c r="C149" s="64">
        <f>'Data Sheet'!J94</f>
        <v>53.32</v>
      </c>
    </row>
    <row r="150" spans="2:8" ht="15.6" outlineLevel="1" x14ac:dyDescent="0.3">
      <c r="B150" s="66" t="s">
        <v>112</v>
      </c>
      <c r="C150" s="73">
        <f>C148/C149</f>
        <v>1807.7265388645174</v>
      </c>
      <c r="D150" s="64"/>
    </row>
    <row r="151" spans="2:8" outlineLevel="1" x14ac:dyDescent="0.3">
      <c r="B151" t="s">
        <v>113</v>
      </c>
      <c r="C151">
        <v>2978</v>
      </c>
      <c r="D151" s="16">
        <f>C151/C150-1</f>
        <v>0.64737306001524075</v>
      </c>
    </row>
    <row r="152" spans="2:8" outlineLevel="1" x14ac:dyDescent="0.3">
      <c r="B152" t="s">
        <v>114</v>
      </c>
      <c r="C152" s="65">
        <f>C150/C151-1</f>
        <v>-0.39297295538464827</v>
      </c>
    </row>
    <row r="154" spans="2:8" ht="31.2" x14ac:dyDescent="0.6">
      <c r="B154" s="31" t="s">
        <v>115</v>
      </c>
    </row>
    <row r="156" spans="2:8" outlineLevel="1" x14ac:dyDescent="0.3">
      <c r="B156" s="67" t="s">
        <v>116</v>
      </c>
    </row>
    <row r="157" spans="2:8" ht="15.6" outlineLevel="1" x14ac:dyDescent="0.3">
      <c r="B157" s="74">
        <f>C150</f>
        <v>1807.7265388645174</v>
      </c>
      <c r="C157" s="69">
        <f>D157-0.5%</f>
        <v>7.4365853599739296E-2</v>
      </c>
      <c r="D157" s="69">
        <f>E157-0.5%</f>
        <v>7.93658535997393E-2</v>
      </c>
      <c r="E157" s="69">
        <f>F157-0.5%</f>
        <v>8.4365853599739304E-2</v>
      </c>
      <c r="F157" s="69">
        <v>8.9365853599739309E-2</v>
      </c>
      <c r="G157" s="69">
        <f>F157+0.5%</f>
        <v>9.4365853599739313E-2</v>
      </c>
      <c r="H157" s="69">
        <f>G157+0.5%</f>
        <v>9.9365853599739318E-2</v>
      </c>
    </row>
    <row r="158" spans="2:8" outlineLevel="1" x14ac:dyDescent="0.3">
      <c r="B158" s="68">
        <f>B159-1%</f>
        <v>3.9999999999999994E-2</v>
      </c>
      <c r="C158" s="45">
        <f t="dataTable" ref="C158:H162" dt2D="1" dtr="1" r1="C113" r2="C118"/>
        <v>1650.3805397727915</v>
      </c>
      <c r="D158" s="45">
        <v>1430.2722740313418</v>
      </c>
      <c r="E158" s="45">
        <v>1259.8559550118491</v>
      </c>
      <c r="F158" s="45">
        <v>1124.0308128835461</v>
      </c>
      <c r="G158" s="45">
        <v>1013.2513622567426</v>
      </c>
      <c r="H158" s="45">
        <v>921.1879733263479</v>
      </c>
    </row>
    <row r="159" spans="2:8" outlineLevel="1" x14ac:dyDescent="0.3">
      <c r="B159" s="68">
        <f>B160-1%</f>
        <v>4.9999999999999996E-2</v>
      </c>
      <c r="C159" s="45">
        <v>2275.9558915562857</v>
      </c>
      <c r="D159" s="45">
        <v>1875.0675647876722</v>
      </c>
      <c r="E159" s="45">
        <v>1590.9244628052345</v>
      </c>
      <c r="F159" s="45">
        <v>1379.0399992721484</v>
      </c>
      <c r="G159" s="45">
        <v>1214.9820615485633</v>
      </c>
      <c r="H159" s="45">
        <v>1084.2169640164366</v>
      </c>
    </row>
    <row r="160" spans="2:8" outlineLevel="1" x14ac:dyDescent="0.3">
      <c r="B160" s="68">
        <v>0.06</v>
      </c>
      <c r="C160" s="75">
        <v>3772.4510914925509</v>
      </c>
      <c r="D160" s="75">
        <v>2779.2232327827505</v>
      </c>
      <c r="E160" s="75">
        <v>2193.7408955692649</v>
      </c>
      <c r="F160" s="75">
        <v>1807.7265388645174</v>
      </c>
      <c r="G160" s="75">
        <v>1534.1145874566455</v>
      </c>
      <c r="H160" s="75">
        <v>1330.073570918139</v>
      </c>
    </row>
    <row r="161" spans="2:8" outlineLevel="1" x14ac:dyDescent="0.3">
      <c r="B161" s="68">
        <f>B160+1%</f>
        <v>6.9999999999999993E-2</v>
      </c>
      <c r="C161" s="45">
        <v>12124.399254971269</v>
      </c>
      <c r="D161" s="45">
        <v>5614.1279955965747</v>
      </c>
      <c r="E161" s="45">
        <v>3635.792433409084</v>
      </c>
      <c r="F161" s="45">
        <v>2679.1372138888923</v>
      </c>
      <c r="G161" s="45">
        <v>2115.1977358633339</v>
      </c>
      <c r="H161" s="45">
        <v>1743.3740466429731</v>
      </c>
    </row>
    <row r="162" spans="2:8" outlineLevel="1" x14ac:dyDescent="0.3">
      <c r="B162" s="68">
        <f>B161+1%</f>
        <v>7.9999999999999988E-2</v>
      </c>
      <c r="C162" s="45">
        <v>-9171.2604715127909</v>
      </c>
      <c r="D162" s="45">
        <v>-80959.493778945543</v>
      </c>
      <c r="E162" s="45">
        <v>11683.890211214084</v>
      </c>
      <c r="F162" s="45">
        <v>5411.3727795535142</v>
      </c>
      <c r="G162" s="45">
        <v>3505.2591247516507</v>
      </c>
      <c r="H162" s="45">
        <v>2583.5087681150712</v>
      </c>
    </row>
    <row r="163" spans="2:8" outlineLevel="1" x14ac:dyDescent="0.3"/>
    <row r="164" spans="2:8" outlineLevel="1" x14ac:dyDescent="0.3"/>
    <row r="166" spans="2:8" ht="31.2" x14ac:dyDescent="0.6">
      <c r="B166" s="31" t="s">
        <v>117</v>
      </c>
    </row>
    <row r="167" spans="2:8" ht="18" outlineLevel="1" x14ac:dyDescent="0.35">
      <c r="B167" s="70" t="s">
        <v>118</v>
      </c>
    </row>
    <row r="168" spans="2:8" outlineLevel="1" x14ac:dyDescent="0.3">
      <c r="B168" s="10" t="s">
        <v>119</v>
      </c>
    </row>
    <row r="169" spans="2:8" outlineLevel="1" x14ac:dyDescent="0.3">
      <c r="B169" s="10" t="s">
        <v>120</v>
      </c>
    </row>
    <row r="170" spans="2:8" outlineLevel="1" x14ac:dyDescent="0.3">
      <c r="B170" s="10" t="s">
        <v>121</v>
      </c>
    </row>
    <row r="171" spans="2:8" outlineLevel="1" x14ac:dyDescent="0.3">
      <c r="B171" s="10" t="s">
        <v>122</v>
      </c>
    </row>
    <row r="172" spans="2:8" outlineLevel="1" x14ac:dyDescent="0.3"/>
    <row r="173" spans="2:8" ht="18" outlineLevel="1" x14ac:dyDescent="0.35">
      <c r="B173" s="70" t="s">
        <v>123</v>
      </c>
    </row>
    <row r="174" spans="2:8" outlineLevel="1" x14ac:dyDescent="0.3">
      <c r="B174" s="10" t="s">
        <v>124</v>
      </c>
    </row>
    <row r="175" spans="2:8" outlineLevel="1" x14ac:dyDescent="0.3">
      <c r="B175" s="10" t="s">
        <v>125</v>
      </c>
    </row>
    <row r="176" spans="2:8" outlineLevel="1" x14ac:dyDescent="0.3">
      <c r="B176" s="10" t="s">
        <v>126</v>
      </c>
    </row>
    <row r="177" spans="2:2" outlineLevel="1" x14ac:dyDescent="0.3">
      <c r="B177" s="10" t="s">
        <v>127</v>
      </c>
    </row>
    <row r="178" spans="2:2" outlineLevel="1" x14ac:dyDescent="0.3">
      <c r="B178" s="10" t="s">
        <v>128</v>
      </c>
    </row>
    <row r="181" spans="2:2" ht="31.2" x14ac:dyDescent="0.6">
      <c r="B181" s="31" t="s">
        <v>129</v>
      </c>
    </row>
    <row r="183" spans="2:2" outlineLevel="1" x14ac:dyDescent="0.3"/>
    <row r="184" spans="2:2" outlineLevel="1" x14ac:dyDescent="0.3">
      <c r="B184" s="10" t="s">
        <v>130</v>
      </c>
    </row>
    <row r="185" spans="2:2" outlineLevel="1" x14ac:dyDescent="0.3"/>
    <row r="186" spans="2:2" outlineLevel="1" x14ac:dyDescent="0.3">
      <c r="B186" s="71" t="s">
        <v>131</v>
      </c>
    </row>
    <row r="187" spans="2:2" outlineLevel="1" x14ac:dyDescent="0.3">
      <c r="B187" t="s">
        <v>132</v>
      </c>
    </row>
    <row r="188" spans="2:2" outlineLevel="1" x14ac:dyDescent="0.3">
      <c r="B188" t="s">
        <v>133</v>
      </c>
    </row>
    <row r="189" spans="2:2" outlineLevel="1" x14ac:dyDescent="0.3">
      <c r="B189" t="s">
        <v>134</v>
      </c>
    </row>
    <row r="190" spans="2:2" outlineLevel="1" x14ac:dyDescent="0.3"/>
    <row r="191" spans="2:2" outlineLevel="1" x14ac:dyDescent="0.3">
      <c r="B191" s="72" t="s">
        <v>135</v>
      </c>
    </row>
    <row r="192" spans="2:2" outlineLevel="1" x14ac:dyDescent="0.3"/>
    <row r="193" spans="2:2" outlineLevel="1" x14ac:dyDescent="0.3">
      <c r="B193" t="s">
        <v>136</v>
      </c>
    </row>
    <row r="194" spans="2:2" outlineLevel="1" x14ac:dyDescent="0.3">
      <c r="B194" t="s">
        <v>137</v>
      </c>
    </row>
    <row r="195" spans="2:2" outlineLevel="1" x14ac:dyDescent="0.3">
      <c r="B195" t="s">
        <v>138</v>
      </c>
    </row>
    <row r="196" spans="2:2" outlineLevel="1" x14ac:dyDescent="0.3">
      <c r="B196" t="s">
        <v>139</v>
      </c>
    </row>
    <row r="197" spans="2:2" outlineLevel="1" x14ac:dyDescent="0.3">
      <c r="B197" t="s">
        <v>140</v>
      </c>
    </row>
  </sheetData>
  <dataValidations count="1">
    <dataValidation type="list" allowBlank="1" showInputMessage="1" showErrorMessage="1" sqref="C76" xr:uid="{80B293FC-F927-449B-8F08-EB652DA7AF02}">
      <formula1>$B$77:$B$79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FA13-0550-4B71-B3E1-7183193AE026}">
  <dimension ref="B4:K29"/>
  <sheetViews>
    <sheetView showGridLines="0" zoomScaleNormal="100" workbookViewId="0">
      <selection activeCell="J21" sqref="J21"/>
    </sheetView>
  </sheetViews>
  <sheetFormatPr defaultRowHeight="14.4" x14ac:dyDescent="0.3"/>
  <cols>
    <col min="2" max="2" width="5.6640625" bestFit="1" customWidth="1"/>
    <col min="3" max="3" width="29.109375" bestFit="1" customWidth="1"/>
    <col min="4" max="4" width="11" bestFit="1" customWidth="1"/>
    <col min="5" max="5" width="14.109375" bestFit="1" customWidth="1"/>
    <col min="6" max="6" width="11.6640625" bestFit="1" customWidth="1"/>
    <col min="7" max="7" width="12.6640625" bestFit="1" customWidth="1"/>
    <col min="8" max="8" width="11" bestFit="1" customWidth="1"/>
    <col min="9" max="9" width="12.5546875" bestFit="1" customWidth="1"/>
    <col min="10" max="10" width="19" bestFit="1" customWidth="1"/>
  </cols>
  <sheetData>
    <row r="4" spans="2:11" ht="33.6" x14ac:dyDescent="0.65">
      <c r="C4" s="42" t="s">
        <v>181</v>
      </c>
      <c r="D4" s="43"/>
      <c r="E4" s="43"/>
      <c r="F4" s="43"/>
      <c r="G4" s="43"/>
      <c r="H4" s="43"/>
    </row>
    <row r="6" spans="2:11" x14ac:dyDescent="0.3">
      <c r="B6" s="27"/>
      <c r="C6" s="32" t="s">
        <v>182</v>
      </c>
      <c r="D6" s="32" t="s">
        <v>183</v>
      </c>
      <c r="E6" s="32" t="s">
        <v>184</v>
      </c>
      <c r="F6" s="32" t="s">
        <v>185</v>
      </c>
      <c r="G6" s="32" t="s">
        <v>186</v>
      </c>
      <c r="H6" s="32" t="s">
        <v>187</v>
      </c>
      <c r="I6" s="46" t="s">
        <v>188</v>
      </c>
      <c r="J6" s="62" t="s">
        <v>189</v>
      </c>
    </row>
    <row r="7" spans="2:11" x14ac:dyDescent="0.3">
      <c r="C7" t="s">
        <v>190</v>
      </c>
      <c r="D7">
        <v>3008.95</v>
      </c>
      <c r="E7">
        <v>160446.92000000001</v>
      </c>
      <c r="F7">
        <v>2561.25</v>
      </c>
      <c r="G7">
        <v>0.37</v>
      </c>
      <c r="H7">
        <v>20945.439999999999</v>
      </c>
      <c r="I7">
        <v>0.79</v>
      </c>
      <c r="J7">
        <v>283</v>
      </c>
    </row>
    <row r="8" spans="2:11" x14ac:dyDescent="0.3">
      <c r="C8" t="s">
        <v>191</v>
      </c>
      <c r="D8">
        <v>589.95000000000005</v>
      </c>
      <c r="E8">
        <v>102575.81</v>
      </c>
      <c r="F8">
        <v>3096.6</v>
      </c>
      <c r="G8">
        <v>0.35</v>
      </c>
      <c r="H8">
        <v>8814.0400000000009</v>
      </c>
      <c r="I8">
        <v>0.63</v>
      </c>
      <c r="J8">
        <v>1543.68</v>
      </c>
    </row>
    <row r="9" spans="2:11" x14ac:dyDescent="0.3">
      <c r="C9" t="s">
        <v>192</v>
      </c>
      <c r="D9">
        <v>522</v>
      </c>
      <c r="E9">
        <v>12683.46</v>
      </c>
      <c r="F9">
        <v>457.59</v>
      </c>
      <c r="G9">
        <v>0.23</v>
      </c>
      <c r="H9">
        <v>1455.66</v>
      </c>
      <c r="I9">
        <v>0.92</v>
      </c>
      <c r="J9">
        <v>11.09</v>
      </c>
    </row>
    <row r="10" spans="2:11" x14ac:dyDescent="0.3">
      <c r="C10" t="s">
        <v>193</v>
      </c>
      <c r="D10">
        <v>91.48</v>
      </c>
      <c r="E10">
        <v>11165.34</v>
      </c>
      <c r="F10">
        <v>3018.1</v>
      </c>
      <c r="G10">
        <v>2.14</v>
      </c>
      <c r="H10">
        <v>8600.9699999999993</v>
      </c>
      <c r="I10">
        <v>0.88</v>
      </c>
      <c r="J10">
        <v>91.51</v>
      </c>
    </row>
    <row r="11" spans="2:11" x14ac:dyDescent="0.3">
      <c r="C11" t="s">
        <v>194</v>
      </c>
      <c r="D11">
        <v>222.9</v>
      </c>
      <c r="E11">
        <v>8127.77</v>
      </c>
      <c r="F11">
        <v>994.59</v>
      </c>
      <c r="G11">
        <v>1.1000000000000001</v>
      </c>
      <c r="H11">
        <v>3060.03</v>
      </c>
      <c r="I11">
        <v>0.55000000000000004</v>
      </c>
      <c r="J11">
        <v>128.65</v>
      </c>
    </row>
    <row r="13" spans="2:11" ht="33.6" x14ac:dyDescent="0.65">
      <c r="C13" s="42" t="s">
        <v>195</v>
      </c>
      <c r="D13" s="44"/>
      <c r="E13" s="44"/>
      <c r="F13" s="44"/>
      <c r="G13" s="44"/>
      <c r="H13" s="44"/>
    </row>
    <row r="15" spans="2:11" x14ac:dyDescent="0.3">
      <c r="C15" s="32" t="s">
        <v>182</v>
      </c>
      <c r="D15" s="32" t="s">
        <v>196</v>
      </c>
      <c r="E15" s="32" t="s">
        <v>197</v>
      </c>
      <c r="F15" s="32" t="s">
        <v>86</v>
      </c>
      <c r="G15" s="32" t="s">
        <v>198</v>
      </c>
      <c r="H15" s="32" t="s">
        <v>199</v>
      </c>
      <c r="I15" s="32" t="s">
        <v>200</v>
      </c>
      <c r="J15" s="32" t="s">
        <v>201</v>
      </c>
      <c r="K15" s="30"/>
    </row>
    <row r="16" spans="2:11" x14ac:dyDescent="0.3">
      <c r="C16" t="s">
        <v>191</v>
      </c>
      <c r="D16">
        <f>E8</f>
        <v>102575.81</v>
      </c>
      <c r="E16">
        <f>F8</f>
        <v>3096.6</v>
      </c>
      <c r="F16" s="49">
        <f>E16/D16</f>
        <v>3.0188404069146517E-2</v>
      </c>
      <c r="G16" s="49">
        <f>E16/(D16+E16)</f>
        <v>2.9303770019061738E-2</v>
      </c>
      <c r="H16" s="16" cm="1">
        <f t="array" ref="H16">Tax_rate</f>
        <v>0.25</v>
      </c>
      <c r="I16">
        <f t="shared" ref="I16:I19" si="0">I8</f>
        <v>0.63</v>
      </c>
      <c r="J16" s="45">
        <f>I16/(1+F16)*(1-H16)</f>
        <v>0.45865396866599339</v>
      </c>
      <c r="K16" s="30"/>
    </row>
    <row r="17" spans="3:11" x14ac:dyDescent="0.3">
      <c r="C17" t="s">
        <v>192</v>
      </c>
      <c r="D17">
        <f t="shared" ref="D17:D19" si="1">E9</f>
        <v>12683.46</v>
      </c>
      <c r="E17">
        <f t="shared" ref="E17:E19" si="2">F9</f>
        <v>457.59</v>
      </c>
      <c r="F17" s="49">
        <f t="shared" ref="F17:F19" si="3">E17/D17</f>
        <v>3.6077694887672609E-2</v>
      </c>
      <c r="G17" s="49">
        <f t="shared" ref="G17:G19" si="4">E17/(D17+E17)</f>
        <v>3.4821418379809829E-2</v>
      </c>
      <c r="H17" s="16" cm="1">
        <f t="array" ref="H17">Tax_rate</f>
        <v>0.25</v>
      </c>
      <c r="I17">
        <f t="shared" si="0"/>
        <v>0.92</v>
      </c>
      <c r="J17" s="45">
        <f t="shared" ref="J17:J19" si="5">I17/(1+F17)*(1-H17)</f>
        <v>0.66597322131793124</v>
      </c>
      <c r="K17" s="30"/>
    </row>
    <row r="18" spans="3:11" x14ac:dyDescent="0.3">
      <c r="C18" t="s">
        <v>193</v>
      </c>
      <c r="D18">
        <f t="shared" si="1"/>
        <v>11165.34</v>
      </c>
      <c r="E18">
        <f t="shared" si="2"/>
        <v>3018.1</v>
      </c>
      <c r="F18" s="49">
        <f t="shared" si="3"/>
        <v>0.27030972634957823</v>
      </c>
      <c r="G18" s="49">
        <f t="shared" si="4"/>
        <v>0.21279040909680583</v>
      </c>
      <c r="H18" s="16" cm="1">
        <f t="array" ref="H18">Tax_rate</f>
        <v>0.25</v>
      </c>
      <c r="I18">
        <f t="shared" si="0"/>
        <v>0.88</v>
      </c>
      <c r="J18" s="45">
        <f t="shared" si="5"/>
        <v>0.51955832999610818</v>
      </c>
      <c r="K18" s="30"/>
    </row>
    <row r="19" spans="3:11" x14ac:dyDescent="0.3">
      <c r="C19" t="s">
        <v>194</v>
      </c>
      <c r="D19">
        <f t="shared" si="1"/>
        <v>8127.77</v>
      </c>
      <c r="E19">
        <f t="shared" si="2"/>
        <v>994.59</v>
      </c>
      <c r="F19" s="49">
        <f t="shared" si="3"/>
        <v>0.12236935838489524</v>
      </c>
      <c r="G19" s="49">
        <f t="shared" si="4"/>
        <v>0.10902770774229475</v>
      </c>
      <c r="H19" s="16" cm="1">
        <f t="array" ref="H19">Tax_rate</f>
        <v>0.25</v>
      </c>
      <c r="I19">
        <f t="shared" si="0"/>
        <v>0.55000000000000004</v>
      </c>
      <c r="J19" s="45">
        <f t="shared" si="5"/>
        <v>0.36752607055630343</v>
      </c>
      <c r="K19" s="30"/>
    </row>
    <row r="20" spans="3:11" x14ac:dyDescent="0.3">
      <c r="C20" s="46" t="s">
        <v>202</v>
      </c>
      <c r="D20" s="32"/>
      <c r="E20" s="32"/>
      <c r="F20" s="47">
        <f t="shared" ref="F20:J20" si="6">AVERAGE(F16:F19)</f>
        <v>0.11473629592282314</v>
      </c>
      <c r="G20" s="47">
        <f t="shared" si="6"/>
        <v>9.6485826309493039E-2</v>
      </c>
      <c r="H20" s="47">
        <f t="shared" si="6"/>
        <v>0.25</v>
      </c>
      <c r="I20" s="48">
        <f t="shared" si="6"/>
        <v>0.74500000000000011</v>
      </c>
      <c r="J20" s="48">
        <f t="shared" si="6"/>
        <v>0.50292789763408408</v>
      </c>
      <c r="K20" s="27"/>
    </row>
    <row r="21" spans="3:11" x14ac:dyDescent="0.3">
      <c r="C21" s="46" t="s">
        <v>203</v>
      </c>
      <c r="D21" s="32"/>
      <c r="E21" s="32"/>
      <c r="F21" s="47">
        <f>MEDIAN(F16:F19)</f>
        <v>7.9223526636283931E-2</v>
      </c>
      <c r="G21" s="47">
        <f t="shared" ref="G21:J21" si="7">MEDIAN(G16:G19)</f>
        <v>7.1924563061052299E-2</v>
      </c>
      <c r="H21" s="47">
        <f t="shared" si="7"/>
        <v>0.25</v>
      </c>
      <c r="I21" s="48">
        <f t="shared" si="7"/>
        <v>0.755</v>
      </c>
      <c r="J21" s="48">
        <f t="shared" si="7"/>
        <v>0.48910614933105079</v>
      </c>
      <c r="K21" s="27"/>
    </row>
    <row r="23" spans="3:11" ht="28.8" x14ac:dyDescent="0.3">
      <c r="C23" s="82" t="s">
        <v>182</v>
      </c>
      <c r="D23" s="83" t="s">
        <v>208</v>
      </c>
      <c r="E23" s="83" t="s">
        <v>209</v>
      </c>
      <c r="F23" s="83" t="s">
        <v>210</v>
      </c>
      <c r="G23" s="83" t="s">
        <v>186</v>
      </c>
      <c r="H23" s="83" t="s">
        <v>211</v>
      </c>
      <c r="I23" s="83" t="s">
        <v>188</v>
      </c>
      <c r="J23" s="83" t="s">
        <v>212</v>
      </c>
      <c r="K23" s="79"/>
    </row>
    <row r="24" spans="3:11" x14ac:dyDescent="0.3">
      <c r="C24" s="84" t="s">
        <v>205</v>
      </c>
      <c r="D24" s="85">
        <v>1005.9</v>
      </c>
      <c r="E24" s="85">
        <v>927686.13</v>
      </c>
      <c r="F24" s="85">
        <v>6894110.8700000001</v>
      </c>
      <c r="G24" s="83">
        <v>11.08</v>
      </c>
      <c r="H24" s="85">
        <v>136240.49</v>
      </c>
      <c r="I24" s="83">
        <v>1.05</v>
      </c>
      <c r="J24" s="85">
        <v>212013.35</v>
      </c>
      <c r="K24" s="77"/>
    </row>
    <row r="25" spans="3:11" x14ac:dyDescent="0.3">
      <c r="C25" s="84" t="s">
        <v>213</v>
      </c>
      <c r="D25" s="83">
        <v>186</v>
      </c>
      <c r="E25" s="85">
        <v>142404.91</v>
      </c>
      <c r="F25" s="85">
        <v>1370000</v>
      </c>
      <c r="G25" s="83">
        <v>9.74</v>
      </c>
      <c r="H25" s="85">
        <v>27427.1</v>
      </c>
      <c r="I25" s="83">
        <v>1.42</v>
      </c>
      <c r="J25" s="85">
        <v>43255.93</v>
      </c>
      <c r="K25" s="78"/>
    </row>
    <row r="26" spans="3:11" x14ac:dyDescent="0.3">
      <c r="C26" s="84" t="s">
        <v>214</v>
      </c>
      <c r="D26" s="83">
        <v>116.45</v>
      </c>
      <c r="E26" s="85">
        <v>133835.31</v>
      </c>
      <c r="F26" s="85">
        <v>1843390.38</v>
      </c>
      <c r="G26" s="83">
        <v>11.79</v>
      </c>
      <c r="H26" s="85">
        <v>33589.17</v>
      </c>
      <c r="I26" s="83">
        <v>1.24</v>
      </c>
      <c r="J26" s="85">
        <v>71273.23</v>
      </c>
      <c r="K26" s="77"/>
    </row>
    <row r="27" spans="3:11" x14ac:dyDescent="0.3">
      <c r="C27" s="84" t="s">
        <v>206</v>
      </c>
      <c r="D27" s="83">
        <v>237</v>
      </c>
      <c r="E27" s="85">
        <v>122458.81</v>
      </c>
      <c r="F27" s="85">
        <v>1835226.38</v>
      </c>
      <c r="G27" s="83">
        <v>10.89</v>
      </c>
      <c r="H27" s="85">
        <v>35114.519999999997</v>
      </c>
      <c r="I27" s="83">
        <v>1.26</v>
      </c>
      <c r="J27" s="85">
        <v>50665.14</v>
      </c>
      <c r="K27" s="78"/>
    </row>
    <row r="28" spans="3:11" x14ac:dyDescent="0.3">
      <c r="C28" s="84" t="s">
        <v>207</v>
      </c>
      <c r="D28" s="83">
        <v>859.9</v>
      </c>
      <c r="E28" s="85">
        <v>115792.14</v>
      </c>
      <c r="F28" s="85">
        <v>1230000</v>
      </c>
      <c r="G28" s="83">
        <v>10.64</v>
      </c>
      <c r="H28" s="85">
        <v>18095.14</v>
      </c>
      <c r="I28" s="83">
        <v>1.33</v>
      </c>
      <c r="J28" s="85">
        <v>31796</v>
      </c>
      <c r="K28" s="80"/>
    </row>
    <row r="29" spans="3:11" x14ac:dyDescent="0.3">
      <c r="H29" s="8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F977D-97F6-4EF4-A100-9344FD7A376A}">
  <dimension ref="A1:K94"/>
  <sheetViews>
    <sheetView zoomScale="140" zoomScaleNormal="120" zoomScalePageLayoutView="120" workbookViewId="0">
      <pane xSplit="1" ySplit="1" topLeftCell="E87" activePane="bottomRight" state="frozen"/>
      <selection pane="topRight" activeCell="C4" sqref="C4"/>
      <selection pane="bottomLeft" activeCell="C4" sqref="C4"/>
      <selection pane="bottomRight" activeCell="F67" sqref="F67"/>
    </sheetView>
  </sheetViews>
  <sheetFormatPr defaultColWidth="8.6640625" defaultRowHeight="14.4" x14ac:dyDescent="0.3"/>
  <cols>
    <col min="1" max="1" width="27.6640625" style="2" bestFit="1" customWidth="1"/>
    <col min="2" max="4" width="13.44140625" style="2" bestFit="1" customWidth="1"/>
    <col min="5" max="5" width="14.77734375" style="2" customWidth="1"/>
    <col min="6" max="11" width="13.44140625" style="2" bestFit="1" customWidth="1"/>
    <col min="12" max="16384" width="8.6640625" style="2"/>
  </cols>
  <sheetData>
    <row r="1" spans="1:11" s="1" customFormat="1" x14ac:dyDescent="0.3">
      <c r="A1" s="1" t="s">
        <v>141</v>
      </c>
      <c r="B1" s="1" t="s">
        <v>142</v>
      </c>
      <c r="E1" s="86" t="str">
        <f>IF(B2&lt;&gt;B3, "A NEW VERSION OF THE WORKSHEET IS AVAILABLE", "")</f>
        <v/>
      </c>
      <c r="F1" s="86"/>
      <c r="G1" s="86"/>
      <c r="H1" s="86"/>
      <c r="I1" s="86"/>
      <c r="J1" s="86"/>
      <c r="K1" s="86"/>
    </row>
    <row r="2" spans="1:11" x14ac:dyDescent="0.3">
      <c r="A2" s="1" t="s">
        <v>143</v>
      </c>
      <c r="B2" s="2">
        <v>2.1</v>
      </c>
      <c r="E2" s="87" t="s">
        <v>144</v>
      </c>
      <c r="F2" s="87"/>
      <c r="G2" s="87"/>
      <c r="H2" s="87"/>
      <c r="I2" s="87"/>
      <c r="J2" s="87"/>
      <c r="K2" s="87"/>
    </row>
    <row r="3" spans="1:11" x14ac:dyDescent="0.3">
      <c r="A3" s="1" t="s">
        <v>145</v>
      </c>
      <c r="B3" s="2">
        <v>2.1</v>
      </c>
    </row>
    <row r="4" spans="1:11" x14ac:dyDescent="0.3">
      <c r="A4" s="1"/>
      <c r="B4" s="2" t="str">
        <f>'[1]Data Sheet'!B1&amp;" -"</f>
        <v>TRENT LTD -</v>
      </c>
    </row>
    <row r="5" spans="1:11" x14ac:dyDescent="0.3">
      <c r="A5" s="1" t="s">
        <v>146</v>
      </c>
    </row>
    <row r="6" spans="1:11" x14ac:dyDescent="0.3">
      <c r="A6" s="2" t="s">
        <v>147</v>
      </c>
      <c r="B6" s="2">
        <f>IF(B9&gt;0, B9/B8, 0)</f>
        <v>53.323229896563227</v>
      </c>
    </row>
    <row r="7" spans="1:11" x14ac:dyDescent="0.3">
      <c r="A7" s="2" t="s">
        <v>148</v>
      </c>
      <c r="B7">
        <v>1</v>
      </c>
    </row>
    <row r="8" spans="1:11" x14ac:dyDescent="0.3">
      <c r="A8" s="2" t="s">
        <v>149</v>
      </c>
      <c r="B8">
        <v>2997</v>
      </c>
      <c r="C8" s="2">
        <f>IFERROR('[1]Data Sheet'!C18,'[1]Data Sheet'!C20:C22)*-1</f>
        <v>-1070.02</v>
      </c>
    </row>
    <row r="9" spans="1:11" x14ac:dyDescent="0.3">
      <c r="A9" s="2" t="s">
        <v>150</v>
      </c>
      <c r="B9">
        <v>159809.72</v>
      </c>
    </row>
    <row r="15" spans="1:11" x14ac:dyDescent="0.3">
      <c r="A15" s="1" t="s">
        <v>151</v>
      </c>
    </row>
    <row r="16" spans="1:11" s="5" customFormat="1" x14ac:dyDescent="0.3">
      <c r="A16" s="3" t="s">
        <v>152</v>
      </c>
      <c r="B16" s="4">
        <v>42825</v>
      </c>
      <c r="C16" s="4">
        <v>43190</v>
      </c>
      <c r="D16" s="4">
        <v>43555</v>
      </c>
      <c r="E16" s="4">
        <v>43921</v>
      </c>
      <c r="F16" s="4">
        <v>44286</v>
      </c>
      <c r="G16" s="4">
        <v>44651</v>
      </c>
      <c r="H16" s="4">
        <v>45016</v>
      </c>
      <c r="I16" s="4">
        <v>45382</v>
      </c>
      <c r="J16" s="4">
        <v>45747</v>
      </c>
      <c r="K16" s="4"/>
    </row>
    <row r="17" spans="1:11" s="6" customFormat="1" x14ac:dyDescent="0.3">
      <c r="A17" s="6" t="s">
        <v>26</v>
      </c>
      <c r="B17">
        <v>1812.44</v>
      </c>
      <c r="C17">
        <v>2157.46</v>
      </c>
      <c r="D17">
        <v>2630.24</v>
      </c>
      <c r="E17">
        <v>3485.98</v>
      </c>
      <c r="F17">
        <v>2592.96</v>
      </c>
      <c r="G17">
        <v>4498.0200000000004</v>
      </c>
      <c r="H17">
        <v>8242.02</v>
      </c>
      <c r="I17">
        <v>12375.11</v>
      </c>
      <c r="J17">
        <v>17134.61</v>
      </c>
      <c r="K17"/>
    </row>
    <row r="18" spans="1:11" s="6" customFormat="1" x14ac:dyDescent="0.3">
      <c r="A18" s="2" t="s">
        <v>153</v>
      </c>
      <c r="B18">
        <v>911.22</v>
      </c>
      <c r="C18">
        <v>1070.02</v>
      </c>
      <c r="D18">
        <v>1459.67</v>
      </c>
      <c r="E18">
        <v>1951.64</v>
      </c>
      <c r="F18">
        <v>1371.64</v>
      </c>
      <c r="G18">
        <v>2920.38</v>
      </c>
      <c r="H18">
        <v>5211.05</v>
      </c>
      <c r="I18">
        <v>7123.6</v>
      </c>
      <c r="J18">
        <v>10143.39</v>
      </c>
      <c r="K18"/>
    </row>
    <row r="19" spans="1:11" s="6" customFormat="1" x14ac:dyDescent="0.3">
      <c r="A19" s="2" t="s">
        <v>154</v>
      </c>
      <c r="B19">
        <v>29.86</v>
      </c>
      <c r="C19">
        <v>38.51</v>
      </c>
      <c r="D19">
        <v>148.22999999999999</v>
      </c>
      <c r="E19">
        <v>69.89</v>
      </c>
      <c r="F19">
        <v>-162.36000000000001</v>
      </c>
      <c r="G19">
        <v>438.84</v>
      </c>
      <c r="H19">
        <v>491.31</v>
      </c>
      <c r="I19">
        <v>164.71</v>
      </c>
      <c r="J19">
        <v>454.25</v>
      </c>
      <c r="K19"/>
    </row>
    <row r="20" spans="1:11" s="6" customFormat="1" x14ac:dyDescent="0.3">
      <c r="A20" s="2" t="s">
        <v>155</v>
      </c>
      <c r="B20">
        <v>51.28</v>
      </c>
      <c r="C20">
        <v>52.75</v>
      </c>
      <c r="D20">
        <v>59.18</v>
      </c>
      <c r="E20">
        <v>66.64</v>
      </c>
      <c r="F20">
        <v>49.41</v>
      </c>
      <c r="G20">
        <v>71.89</v>
      </c>
      <c r="H20">
        <v>144.28</v>
      </c>
      <c r="I20">
        <v>229.16</v>
      </c>
      <c r="J20">
        <v>349.87</v>
      </c>
      <c r="K20"/>
    </row>
    <row r="21" spans="1:11" s="6" customFormat="1" x14ac:dyDescent="0.3">
      <c r="A21" s="2" t="s">
        <v>156</v>
      </c>
      <c r="B21">
        <v>81.91</v>
      </c>
      <c r="C21">
        <v>90.78</v>
      </c>
      <c r="D21">
        <v>122.09</v>
      </c>
      <c r="E21">
        <v>97.51</v>
      </c>
      <c r="F21">
        <v>92</v>
      </c>
      <c r="G21">
        <v>127.14</v>
      </c>
      <c r="H21">
        <v>211.99</v>
      </c>
      <c r="I21">
        <v>264.58999999999997</v>
      </c>
      <c r="J21">
        <v>369.79</v>
      </c>
      <c r="K21"/>
    </row>
    <row r="22" spans="1:11" s="6" customFormat="1" x14ac:dyDescent="0.3">
      <c r="A22" s="2" t="s">
        <v>157</v>
      </c>
      <c r="B22">
        <v>194.72</v>
      </c>
      <c r="C22">
        <v>233.02</v>
      </c>
      <c r="D22">
        <v>288.89</v>
      </c>
      <c r="E22">
        <v>361.01</v>
      </c>
      <c r="F22">
        <v>303.39999999999998</v>
      </c>
      <c r="G22">
        <v>402.92</v>
      </c>
      <c r="H22">
        <v>659.07</v>
      </c>
      <c r="I22">
        <v>1041.74</v>
      </c>
      <c r="J22">
        <v>1315.54</v>
      </c>
      <c r="K22"/>
    </row>
    <row r="23" spans="1:11" s="6" customFormat="1" x14ac:dyDescent="0.3">
      <c r="A23" s="2" t="s">
        <v>158</v>
      </c>
      <c r="B23">
        <v>407.07</v>
      </c>
      <c r="C23">
        <f>SUM('Data Sheet'!F18)</f>
        <v>1371.64</v>
      </c>
      <c r="D23">
        <v>514.41</v>
      </c>
      <c r="E23">
        <v>436.82</v>
      </c>
      <c r="F23">
        <v>364.62</v>
      </c>
      <c r="G23">
        <v>705.03</v>
      </c>
      <c r="H23">
        <v>1252.53</v>
      </c>
      <c r="I23">
        <v>1709.55</v>
      </c>
      <c r="J23">
        <v>2322.83</v>
      </c>
      <c r="K23"/>
    </row>
    <row r="24" spans="1:11" s="6" customFormat="1" x14ac:dyDescent="0.3">
      <c r="A24" s="2" t="s">
        <v>159</v>
      </c>
      <c r="B24">
        <v>62.57</v>
      </c>
      <c r="C24">
        <v>90.29</v>
      </c>
      <c r="D24">
        <v>93.59</v>
      </c>
      <c r="E24">
        <v>113.28</v>
      </c>
      <c r="F24">
        <v>135.66</v>
      </c>
      <c r="G24">
        <v>114.78</v>
      </c>
      <c r="H24">
        <v>140.26</v>
      </c>
      <c r="I24">
        <v>200.49</v>
      </c>
      <c r="J24">
        <v>267.48</v>
      </c>
      <c r="K24"/>
    </row>
    <row r="25" spans="1:11" s="6" customFormat="1" x14ac:dyDescent="0.3">
      <c r="A25" s="6" t="s">
        <v>38</v>
      </c>
      <c r="B25">
        <v>81.31</v>
      </c>
      <c r="C25">
        <v>27.47</v>
      </c>
      <c r="D25">
        <v>30.14</v>
      </c>
      <c r="E25">
        <v>146.63</v>
      </c>
      <c r="F25">
        <v>199.4</v>
      </c>
      <c r="G25">
        <v>152.16</v>
      </c>
      <c r="H25">
        <v>340.6</v>
      </c>
      <c r="I25">
        <v>988.91</v>
      </c>
      <c r="J25">
        <v>305.06</v>
      </c>
      <c r="K25"/>
    </row>
    <row r="26" spans="1:11" s="6" customFormat="1" x14ac:dyDescent="0.3">
      <c r="A26" s="6" t="s">
        <v>35</v>
      </c>
      <c r="B26">
        <v>41.29</v>
      </c>
      <c r="C26">
        <v>45.53</v>
      </c>
      <c r="D26">
        <v>51.67</v>
      </c>
      <c r="E26">
        <v>247.24</v>
      </c>
      <c r="F26">
        <v>257.3</v>
      </c>
      <c r="G26">
        <v>310.82</v>
      </c>
      <c r="H26">
        <v>493.69</v>
      </c>
      <c r="I26">
        <v>671.11</v>
      </c>
      <c r="J26">
        <v>895.18</v>
      </c>
      <c r="K26"/>
    </row>
    <row r="27" spans="1:11" s="6" customFormat="1" x14ac:dyDescent="0.3">
      <c r="A27" s="6" t="s">
        <v>39</v>
      </c>
      <c r="B27">
        <v>45.55</v>
      </c>
      <c r="C27">
        <v>43.78</v>
      </c>
      <c r="D27">
        <v>50.64</v>
      </c>
      <c r="E27">
        <v>263.37</v>
      </c>
      <c r="F27">
        <v>260.79000000000002</v>
      </c>
      <c r="G27">
        <v>324.83999999999997</v>
      </c>
      <c r="H27">
        <v>408.99</v>
      </c>
      <c r="I27">
        <v>367.66</v>
      </c>
      <c r="J27">
        <v>200.1</v>
      </c>
      <c r="K27"/>
    </row>
    <row r="28" spans="1:11" s="6" customFormat="1" x14ac:dyDescent="0.3">
      <c r="A28" s="6" t="s">
        <v>160</v>
      </c>
      <c r="B28">
        <v>128</v>
      </c>
      <c r="C28">
        <v>146.66</v>
      </c>
      <c r="D28">
        <v>168.47</v>
      </c>
      <c r="E28">
        <v>164.99</v>
      </c>
      <c r="F28">
        <v>-204.82</v>
      </c>
      <c r="G28">
        <v>111.22</v>
      </c>
      <c r="H28">
        <v>552.07000000000005</v>
      </c>
      <c r="I28">
        <v>1920.83</v>
      </c>
      <c r="J28">
        <v>2029.74</v>
      </c>
      <c r="K28"/>
    </row>
    <row r="29" spans="1:11" s="6" customFormat="1" x14ac:dyDescent="0.3">
      <c r="A29" s="6" t="s">
        <v>42</v>
      </c>
      <c r="B29">
        <v>43.05</v>
      </c>
      <c r="C29">
        <v>59.62</v>
      </c>
      <c r="D29">
        <v>73.61</v>
      </c>
      <c r="E29">
        <v>59.01</v>
      </c>
      <c r="F29">
        <v>-23.69</v>
      </c>
      <c r="G29">
        <v>76.62</v>
      </c>
      <c r="H29">
        <v>158.44</v>
      </c>
      <c r="I29">
        <v>443.37</v>
      </c>
      <c r="J29">
        <v>495.33</v>
      </c>
      <c r="K29"/>
    </row>
    <row r="30" spans="1:11" s="6" customFormat="1" x14ac:dyDescent="0.3">
      <c r="A30" s="6" t="s">
        <v>161</v>
      </c>
      <c r="B30">
        <v>84.86</v>
      </c>
      <c r="C30">
        <v>86.97</v>
      </c>
      <c r="D30">
        <v>96.96</v>
      </c>
      <c r="E30">
        <v>122.85</v>
      </c>
      <c r="F30">
        <v>-146.16999999999999</v>
      </c>
      <c r="G30">
        <v>105.83</v>
      </c>
      <c r="H30">
        <v>444.63</v>
      </c>
      <c r="I30">
        <v>1486.8</v>
      </c>
      <c r="J30">
        <v>1546.72</v>
      </c>
      <c r="K30"/>
    </row>
    <row r="31" spans="1:11" s="6" customFormat="1" x14ac:dyDescent="0.3">
      <c r="A31" s="6" t="s">
        <v>162</v>
      </c>
      <c r="B31">
        <v>33.229999999999997</v>
      </c>
      <c r="C31">
        <v>38.21</v>
      </c>
      <c r="D31">
        <v>43.2</v>
      </c>
      <c r="E31">
        <v>35.549999999999997</v>
      </c>
      <c r="F31">
        <v>21.33</v>
      </c>
      <c r="G31">
        <v>60.44</v>
      </c>
      <c r="H31">
        <v>78.209999999999994</v>
      </c>
      <c r="I31">
        <v>113.76</v>
      </c>
      <c r="J31">
        <v>177.75</v>
      </c>
      <c r="K31"/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163</v>
      </c>
    </row>
    <row r="41" spans="1:11" s="5" customFormat="1" x14ac:dyDescent="0.3">
      <c r="A41" s="3" t="s">
        <v>152</v>
      </c>
      <c r="B41" s="4">
        <v>45382</v>
      </c>
      <c r="C41" s="4">
        <v>45473</v>
      </c>
      <c r="D41" s="4">
        <v>45565</v>
      </c>
      <c r="E41" s="4">
        <v>45657</v>
      </c>
      <c r="F41" s="4">
        <v>45747</v>
      </c>
      <c r="G41" s="4">
        <v>45838</v>
      </c>
      <c r="H41" s="4">
        <v>45930</v>
      </c>
      <c r="I41" s="4">
        <v>46022</v>
      </c>
      <c r="J41" s="4">
        <v>46112</v>
      </c>
      <c r="K41" s="4"/>
    </row>
    <row r="42" spans="1:11" s="6" customFormat="1" x14ac:dyDescent="0.3">
      <c r="A42" s="6" t="s">
        <v>26</v>
      </c>
      <c r="B42">
        <v>3297.7</v>
      </c>
      <c r="C42">
        <v>4104.4399999999996</v>
      </c>
      <c r="D42">
        <v>4156.67</v>
      </c>
      <c r="E42">
        <v>4656.5600000000004</v>
      </c>
      <c r="F42">
        <v>4216.9399999999996</v>
      </c>
      <c r="G42">
        <v>4883.4799999999996</v>
      </c>
      <c r="H42">
        <v>4817.68</v>
      </c>
      <c r="I42">
        <v>5345.06</v>
      </c>
      <c r="J42">
        <v>5027.99</v>
      </c>
      <c r="K42"/>
    </row>
    <row r="43" spans="1:11" s="6" customFormat="1" x14ac:dyDescent="0.3">
      <c r="A43" s="6" t="s">
        <v>164</v>
      </c>
      <c r="B43">
        <v>2828.06</v>
      </c>
      <c r="C43">
        <v>3491.09</v>
      </c>
      <c r="D43">
        <v>3510.95</v>
      </c>
      <c r="E43">
        <v>3809.19</v>
      </c>
      <c r="F43">
        <v>3566.03</v>
      </c>
      <c r="G43">
        <v>4035.62</v>
      </c>
      <c r="H43">
        <v>4001.7</v>
      </c>
      <c r="I43">
        <v>4263.99</v>
      </c>
      <c r="J43">
        <v>4116.6899999999996</v>
      </c>
      <c r="K43"/>
    </row>
    <row r="44" spans="1:11" s="6" customFormat="1" x14ac:dyDescent="0.3">
      <c r="A44" s="6" t="s">
        <v>38</v>
      </c>
      <c r="B44">
        <v>694.87</v>
      </c>
      <c r="C44">
        <v>100.91</v>
      </c>
      <c r="D44">
        <v>51.04</v>
      </c>
      <c r="E44">
        <v>79.87</v>
      </c>
      <c r="F44">
        <v>74.34</v>
      </c>
      <c r="G44">
        <v>49.8</v>
      </c>
      <c r="H44">
        <v>27.55</v>
      </c>
      <c r="I44">
        <v>4.55</v>
      </c>
      <c r="J44">
        <v>27.91</v>
      </c>
      <c r="K44"/>
    </row>
    <row r="45" spans="1:11" s="6" customFormat="1" x14ac:dyDescent="0.3">
      <c r="A45" s="6" t="s">
        <v>35</v>
      </c>
      <c r="B45">
        <v>212.94</v>
      </c>
      <c r="C45">
        <v>181.32</v>
      </c>
      <c r="D45">
        <v>196.95</v>
      </c>
      <c r="E45">
        <v>244.93</v>
      </c>
      <c r="F45">
        <v>271.98</v>
      </c>
      <c r="G45">
        <v>292.93</v>
      </c>
      <c r="H45">
        <v>324.93</v>
      </c>
      <c r="I45">
        <v>366.74</v>
      </c>
      <c r="J45">
        <v>376.59</v>
      </c>
      <c r="K45"/>
    </row>
    <row r="46" spans="1:11" s="6" customFormat="1" x14ac:dyDescent="0.3">
      <c r="A46" s="6" t="s">
        <v>39</v>
      </c>
      <c r="B46">
        <v>32.54</v>
      </c>
      <c r="C46">
        <v>31.55</v>
      </c>
      <c r="D46">
        <v>33</v>
      </c>
      <c r="E46">
        <v>36.520000000000003</v>
      </c>
      <c r="F46">
        <v>37.520000000000003</v>
      </c>
      <c r="G46">
        <v>40.04</v>
      </c>
      <c r="H46">
        <v>41.62</v>
      </c>
      <c r="I46">
        <v>42.94</v>
      </c>
      <c r="J46">
        <v>43.75</v>
      </c>
      <c r="K46"/>
    </row>
    <row r="47" spans="1:11" s="6" customFormat="1" x14ac:dyDescent="0.3">
      <c r="A47" s="6" t="s">
        <v>160</v>
      </c>
      <c r="B47">
        <v>919.03</v>
      </c>
      <c r="C47">
        <v>501.39</v>
      </c>
      <c r="D47">
        <v>466.81</v>
      </c>
      <c r="E47">
        <v>645.79</v>
      </c>
      <c r="F47">
        <v>415.75</v>
      </c>
      <c r="G47">
        <v>564.69000000000005</v>
      </c>
      <c r="H47">
        <v>476.98</v>
      </c>
      <c r="I47">
        <v>675.94</v>
      </c>
      <c r="J47">
        <v>518.87</v>
      </c>
      <c r="K47"/>
    </row>
    <row r="48" spans="1:11" s="6" customFormat="1" x14ac:dyDescent="0.3">
      <c r="A48" s="6" t="s">
        <v>42</v>
      </c>
      <c r="B48">
        <v>206.94</v>
      </c>
      <c r="C48">
        <v>110.18</v>
      </c>
      <c r="D48">
        <v>131.75</v>
      </c>
      <c r="E48">
        <v>149.25</v>
      </c>
      <c r="F48">
        <v>104.15</v>
      </c>
      <c r="G48">
        <v>139.99</v>
      </c>
      <c r="H48">
        <v>103.56</v>
      </c>
      <c r="I48">
        <v>165.83</v>
      </c>
      <c r="J48">
        <v>105.77</v>
      </c>
      <c r="K48"/>
    </row>
    <row r="49" spans="1:11" s="6" customFormat="1" x14ac:dyDescent="0.3">
      <c r="A49" s="6" t="s">
        <v>161</v>
      </c>
      <c r="B49">
        <v>704.23</v>
      </c>
      <c r="C49">
        <v>392.57</v>
      </c>
      <c r="D49">
        <v>338.75</v>
      </c>
      <c r="E49">
        <v>497.25</v>
      </c>
      <c r="F49">
        <v>318.14999999999998</v>
      </c>
      <c r="G49">
        <v>429.69</v>
      </c>
      <c r="H49">
        <v>376.86</v>
      </c>
      <c r="I49">
        <v>512.77</v>
      </c>
      <c r="J49">
        <v>400.33</v>
      </c>
      <c r="K49"/>
    </row>
    <row r="50" spans="1:11" x14ac:dyDescent="0.3">
      <c r="A50" s="6" t="s">
        <v>165</v>
      </c>
      <c r="B50">
        <v>469.64</v>
      </c>
      <c r="C50">
        <v>613.35</v>
      </c>
      <c r="D50">
        <v>645.72</v>
      </c>
      <c r="E50">
        <v>847.37</v>
      </c>
      <c r="F50">
        <v>650.91</v>
      </c>
      <c r="G50">
        <v>847.86</v>
      </c>
      <c r="H50">
        <v>815.98</v>
      </c>
      <c r="I50">
        <v>1081.07</v>
      </c>
      <c r="J50">
        <v>911.3</v>
      </c>
      <c r="K50"/>
    </row>
    <row r="51" spans="1:11" x14ac:dyDescent="0.3">
      <c r="A51" s="1" t="s">
        <v>34</v>
      </c>
      <c r="B51" s="7">
        <v>16892.02</v>
      </c>
      <c r="C51" s="7">
        <v>20164.599999999999</v>
      </c>
      <c r="D51" s="7">
        <v>19850</v>
      </c>
      <c r="E51" s="7">
        <v>20404</v>
      </c>
      <c r="F51" s="7">
        <v>22268</v>
      </c>
      <c r="G51" s="7">
        <v>23828</v>
      </c>
      <c r="H51" s="7">
        <v>22359</v>
      </c>
      <c r="I51" s="7">
        <v>18164</v>
      </c>
      <c r="J51" s="7">
        <v>17822</v>
      </c>
      <c r="K51" s="7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166</v>
      </c>
    </row>
    <row r="56" spans="1:11" s="5" customFormat="1" x14ac:dyDescent="0.3">
      <c r="A56" s="3" t="s">
        <v>152</v>
      </c>
      <c r="B56" s="4">
        <v>42825</v>
      </c>
      <c r="C56" s="4">
        <v>43190</v>
      </c>
      <c r="D56" s="4">
        <v>43555</v>
      </c>
      <c r="E56" s="4">
        <v>43921</v>
      </c>
      <c r="F56" s="4">
        <v>44286</v>
      </c>
      <c r="G56" s="4">
        <v>44651</v>
      </c>
      <c r="H56" s="4">
        <v>45016</v>
      </c>
      <c r="I56" s="4">
        <v>45382</v>
      </c>
      <c r="J56" s="4">
        <v>45747</v>
      </c>
      <c r="K56" s="4"/>
    </row>
    <row r="57" spans="1:11" x14ac:dyDescent="0.3">
      <c r="A57" s="6" t="s">
        <v>167</v>
      </c>
      <c r="B57">
        <v>33.229999999999997</v>
      </c>
      <c r="C57">
        <v>33.229999999999997</v>
      </c>
      <c r="D57">
        <v>33.229999999999997</v>
      </c>
      <c r="E57">
        <v>35.549999999999997</v>
      </c>
      <c r="F57">
        <v>35.549999999999997</v>
      </c>
      <c r="G57">
        <v>35.549999999999997</v>
      </c>
      <c r="H57">
        <v>35.549999999999997</v>
      </c>
      <c r="I57">
        <v>35.549999999999997</v>
      </c>
      <c r="J57">
        <v>35.549999999999997</v>
      </c>
      <c r="K57"/>
    </row>
    <row r="58" spans="1:11" x14ac:dyDescent="0.3">
      <c r="A58" s="6" t="s">
        <v>48</v>
      </c>
      <c r="B58">
        <v>1514.46</v>
      </c>
      <c r="C58">
        <v>1562.14</v>
      </c>
      <c r="D58">
        <v>1613.28</v>
      </c>
      <c r="E58">
        <v>2352.2199999999998</v>
      </c>
      <c r="F58">
        <v>2277.48</v>
      </c>
      <c r="G58">
        <v>2328.4499999999998</v>
      </c>
      <c r="H58">
        <v>2559.94</v>
      </c>
      <c r="I58">
        <v>4032.19</v>
      </c>
      <c r="J58">
        <v>5426.19</v>
      </c>
      <c r="K58"/>
    </row>
    <row r="59" spans="1:11" x14ac:dyDescent="0.3">
      <c r="A59" s="6" t="s">
        <v>49</v>
      </c>
      <c r="B59">
        <v>391.74</v>
      </c>
      <c r="C59">
        <v>391.43</v>
      </c>
      <c r="D59">
        <v>494.14</v>
      </c>
      <c r="E59">
        <v>299.74</v>
      </c>
      <c r="F59">
        <v>2963.63</v>
      </c>
      <c r="G59">
        <v>4725.3599999999997</v>
      </c>
      <c r="H59">
        <v>4464.1400000000003</v>
      </c>
      <c r="I59">
        <v>1752.99</v>
      </c>
      <c r="J59">
        <v>2237.19</v>
      </c>
      <c r="K59"/>
    </row>
    <row r="60" spans="1:11" x14ac:dyDescent="0.3">
      <c r="A60" s="6" t="s">
        <v>50</v>
      </c>
      <c r="B60">
        <v>282.82</v>
      </c>
      <c r="C60">
        <v>349.06</v>
      </c>
      <c r="D60">
        <v>418.11</v>
      </c>
      <c r="E60">
        <v>2819.17</v>
      </c>
      <c r="F60">
        <v>447.07</v>
      </c>
      <c r="G60">
        <v>636.66</v>
      </c>
      <c r="H60">
        <v>1021.9</v>
      </c>
      <c r="I60">
        <v>1341.02</v>
      </c>
      <c r="J60">
        <v>1720.71</v>
      </c>
      <c r="K60"/>
    </row>
    <row r="61" spans="1:11" s="1" customFormat="1" x14ac:dyDescent="0.3">
      <c r="A61" s="1" t="s">
        <v>51</v>
      </c>
      <c r="B61">
        <v>2222.25</v>
      </c>
      <c r="C61">
        <v>2335.86</v>
      </c>
      <c r="D61">
        <v>2558.7600000000002</v>
      </c>
      <c r="E61">
        <v>5506.68</v>
      </c>
      <c r="F61">
        <v>5723.73</v>
      </c>
      <c r="G61">
        <v>7726.02</v>
      </c>
      <c r="H61">
        <v>8081.53</v>
      </c>
      <c r="I61">
        <v>7161.75</v>
      </c>
      <c r="J61">
        <v>9419.64</v>
      </c>
      <c r="K61"/>
    </row>
    <row r="62" spans="1:11" x14ac:dyDescent="0.3">
      <c r="A62" s="6" t="s">
        <v>52</v>
      </c>
      <c r="B62">
        <v>548.71</v>
      </c>
      <c r="C62">
        <v>612.53</v>
      </c>
      <c r="D62">
        <v>662.18</v>
      </c>
      <c r="E62">
        <v>2738.43</v>
      </c>
      <c r="F62">
        <v>3053.82</v>
      </c>
      <c r="G62">
        <v>4686.71</v>
      </c>
      <c r="H62">
        <v>4526.95</v>
      </c>
      <c r="I62">
        <v>2449.92</v>
      </c>
      <c r="J62">
        <v>3895.13</v>
      </c>
      <c r="K62"/>
    </row>
    <row r="63" spans="1:11" x14ac:dyDescent="0.3">
      <c r="A63" s="6" t="s">
        <v>168</v>
      </c>
      <c r="B63">
        <v>5.48</v>
      </c>
      <c r="C63">
        <v>9.59</v>
      </c>
      <c r="D63">
        <v>87.18</v>
      </c>
      <c r="E63">
        <v>23.32</v>
      </c>
      <c r="F63">
        <v>107.98</v>
      </c>
      <c r="G63">
        <v>104.72</v>
      </c>
      <c r="H63">
        <v>101.72</v>
      </c>
      <c r="I63">
        <v>223.78</v>
      </c>
      <c r="J63">
        <v>179.5</v>
      </c>
      <c r="K63"/>
    </row>
    <row r="64" spans="1:11" x14ac:dyDescent="0.3">
      <c r="A64" s="6" t="s">
        <v>53</v>
      </c>
      <c r="B64">
        <v>1079.96</v>
      </c>
      <c r="C64">
        <v>1022.88</v>
      </c>
      <c r="D64">
        <v>882.83</v>
      </c>
      <c r="E64">
        <v>1514.78</v>
      </c>
      <c r="F64">
        <v>1487.29</v>
      </c>
      <c r="G64">
        <v>1283.72</v>
      </c>
      <c r="H64">
        <v>1109.8699999999999</v>
      </c>
      <c r="I64">
        <v>1416.03</v>
      </c>
      <c r="J64">
        <v>1480.25</v>
      </c>
      <c r="K64"/>
    </row>
    <row r="65" spans="1:11" x14ac:dyDescent="0.3">
      <c r="A65" s="6" t="s">
        <v>56</v>
      </c>
      <c r="B65">
        <v>588.1</v>
      </c>
      <c r="C65">
        <v>690.86</v>
      </c>
      <c r="D65">
        <v>926.57</v>
      </c>
      <c r="E65">
        <v>1230.1500000000001</v>
      </c>
      <c r="F65">
        <v>1074.6400000000001</v>
      </c>
      <c r="G65">
        <v>1650.87</v>
      </c>
      <c r="H65">
        <v>2342.9899999999998</v>
      </c>
      <c r="I65">
        <v>3072.02</v>
      </c>
      <c r="J65">
        <v>3864.76</v>
      </c>
      <c r="K65"/>
    </row>
    <row r="66" spans="1:11" s="1" customFormat="1" x14ac:dyDescent="0.3">
      <c r="A66" s="1" t="s">
        <v>51</v>
      </c>
      <c r="B66">
        <v>2222.25</v>
      </c>
      <c r="C66">
        <v>2335.86</v>
      </c>
      <c r="D66">
        <v>2558.7600000000002</v>
      </c>
      <c r="E66">
        <v>5506.68</v>
      </c>
      <c r="F66">
        <v>5723.73</v>
      </c>
      <c r="G66">
        <v>7726.02</v>
      </c>
      <c r="H66">
        <v>8081.53</v>
      </c>
      <c r="I66">
        <v>7161.75</v>
      </c>
      <c r="J66">
        <v>9419.64</v>
      </c>
      <c r="K66"/>
    </row>
    <row r="67" spans="1:11" s="6" customFormat="1" x14ac:dyDescent="0.3">
      <c r="A67" s="6" t="s">
        <v>169</v>
      </c>
      <c r="B67">
        <v>5.92</v>
      </c>
      <c r="C67">
        <v>15.1</v>
      </c>
      <c r="D67">
        <v>16.54</v>
      </c>
      <c r="E67">
        <v>17.12</v>
      </c>
      <c r="F67">
        <v>20.77</v>
      </c>
      <c r="G67">
        <v>18.260000000000002</v>
      </c>
      <c r="H67">
        <v>34.39</v>
      </c>
      <c r="I67">
        <v>81.739999999999995</v>
      </c>
      <c r="J67">
        <v>62.95</v>
      </c>
      <c r="K67"/>
    </row>
    <row r="68" spans="1:11" x14ac:dyDescent="0.3">
      <c r="A68" s="6" t="s">
        <v>54</v>
      </c>
      <c r="B68">
        <v>305.36</v>
      </c>
      <c r="C68">
        <v>344.77</v>
      </c>
      <c r="D68">
        <v>497.01</v>
      </c>
      <c r="E68">
        <v>607.80999999999995</v>
      </c>
      <c r="F68">
        <v>428.39</v>
      </c>
      <c r="G68">
        <v>867.78</v>
      </c>
      <c r="H68">
        <v>1361.16</v>
      </c>
      <c r="I68">
        <v>1582.73</v>
      </c>
      <c r="J68">
        <v>2045.05</v>
      </c>
      <c r="K68"/>
    </row>
    <row r="69" spans="1:11" x14ac:dyDescent="0.3">
      <c r="A69" s="2" t="s">
        <v>55</v>
      </c>
      <c r="B69">
        <v>34.28</v>
      </c>
      <c r="C69">
        <v>32.81</v>
      </c>
      <c r="D69">
        <v>54.23</v>
      </c>
      <c r="E69">
        <v>61.41</v>
      </c>
      <c r="F69">
        <v>81.47</v>
      </c>
      <c r="G69">
        <v>85.97</v>
      </c>
      <c r="H69">
        <v>86.3</v>
      </c>
      <c r="I69">
        <v>297.56</v>
      </c>
      <c r="J69">
        <v>339.84</v>
      </c>
      <c r="K69"/>
    </row>
    <row r="70" spans="1:11" x14ac:dyDescent="0.3">
      <c r="A70" s="2" t="s">
        <v>170</v>
      </c>
      <c r="B70">
        <v>332316730</v>
      </c>
      <c r="C70">
        <v>332316730</v>
      </c>
      <c r="D70">
        <v>332316730</v>
      </c>
      <c r="E70">
        <v>355487461</v>
      </c>
      <c r="F70">
        <v>355487461</v>
      </c>
      <c r="G70">
        <v>355487461</v>
      </c>
      <c r="H70">
        <v>355487461</v>
      </c>
      <c r="I70">
        <v>355487461</v>
      </c>
      <c r="J70">
        <v>355487461</v>
      </c>
      <c r="K70"/>
    </row>
    <row r="71" spans="1:11" x14ac:dyDescent="0.3">
      <c r="A71" s="2" t="s">
        <v>171</v>
      </c>
    </row>
    <row r="72" spans="1:11" x14ac:dyDescent="0.3">
      <c r="A72" s="2" t="s">
        <v>172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/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173</v>
      </c>
    </row>
    <row r="81" spans="1:11" s="5" customFormat="1" x14ac:dyDescent="0.3">
      <c r="A81" s="3" t="s">
        <v>152</v>
      </c>
      <c r="B81" s="4">
        <v>42825</v>
      </c>
      <c r="C81" s="4">
        <v>43190</v>
      </c>
      <c r="D81" s="4">
        <v>43555</v>
      </c>
      <c r="E81" s="4">
        <v>43921</v>
      </c>
      <c r="F81" s="4">
        <v>44286</v>
      </c>
      <c r="G81" s="4">
        <v>44651</v>
      </c>
      <c r="H81" s="4">
        <v>45016</v>
      </c>
      <c r="I81" s="4">
        <v>45382</v>
      </c>
      <c r="J81" s="4">
        <v>45747</v>
      </c>
      <c r="K81" s="4"/>
    </row>
    <row r="82" spans="1:11" s="1" customFormat="1" x14ac:dyDescent="0.3">
      <c r="A82" s="6" t="s">
        <v>174</v>
      </c>
      <c r="B82">
        <v>102.44</v>
      </c>
      <c r="C82">
        <v>76.86</v>
      </c>
      <c r="D82">
        <v>20.98</v>
      </c>
      <c r="E82">
        <v>361.16</v>
      </c>
      <c r="F82">
        <v>285.02999999999997</v>
      </c>
      <c r="G82">
        <v>58.08</v>
      </c>
      <c r="H82">
        <v>594.88</v>
      </c>
      <c r="I82">
        <v>1348.98</v>
      </c>
      <c r="J82">
        <v>1660.9</v>
      </c>
      <c r="K82"/>
    </row>
    <row r="83" spans="1:11" s="6" customFormat="1" x14ac:dyDescent="0.3">
      <c r="A83" s="6" t="s">
        <v>175</v>
      </c>
      <c r="B83">
        <v>-43.7</v>
      </c>
      <c r="C83">
        <v>-4.0199999999999996</v>
      </c>
      <c r="D83">
        <v>-37.03</v>
      </c>
      <c r="E83">
        <v>-808.56</v>
      </c>
      <c r="F83">
        <v>17.71</v>
      </c>
      <c r="G83">
        <v>56.03</v>
      </c>
      <c r="H83">
        <v>-102.63</v>
      </c>
      <c r="I83">
        <v>-508.21</v>
      </c>
      <c r="J83">
        <v>-923.31</v>
      </c>
      <c r="K83"/>
    </row>
    <row r="84" spans="1:11" s="6" customFormat="1" x14ac:dyDescent="0.3">
      <c r="A84" s="6" t="s">
        <v>176</v>
      </c>
      <c r="B84">
        <v>-51.36</v>
      </c>
      <c r="C84">
        <v>-74.31</v>
      </c>
      <c r="D84">
        <v>37.47</v>
      </c>
      <c r="E84">
        <v>451.94</v>
      </c>
      <c r="F84">
        <v>-283.11</v>
      </c>
      <c r="G84">
        <v>-107.98</v>
      </c>
      <c r="H84">
        <v>-491.41</v>
      </c>
      <c r="I84">
        <v>-629.45000000000005</v>
      </c>
      <c r="J84">
        <v>-693.67</v>
      </c>
      <c r="K84"/>
    </row>
    <row r="85" spans="1:11" s="1" customFormat="1" x14ac:dyDescent="0.3">
      <c r="A85" s="6" t="s">
        <v>177</v>
      </c>
      <c r="B85">
        <v>7.38</v>
      </c>
      <c r="C85">
        <v>-1.47</v>
      </c>
      <c r="D85">
        <v>21.42</v>
      </c>
      <c r="E85">
        <v>4.54</v>
      </c>
      <c r="F85">
        <v>19.63</v>
      </c>
      <c r="G85">
        <v>6.13</v>
      </c>
      <c r="H85">
        <v>0.84</v>
      </c>
      <c r="I85">
        <v>211.32</v>
      </c>
      <c r="J85">
        <v>43.92</v>
      </c>
      <c r="K85"/>
    </row>
    <row r="86" spans="1:11" x14ac:dyDescent="0.3">
      <c r="A86" s="6"/>
      <c r="H86" s="2">
        <f>SUM(G67:G68)-SUM(H67:H68)</f>
        <v>-509.51000000000022</v>
      </c>
      <c r="I86" s="2">
        <f t="shared" ref="I86:J86" si="0">SUM(H67:H68)-SUM(I67:I68)</f>
        <v>-268.91999999999985</v>
      </c>
      <c r="J86" s="2">
        <f t="shared" si="0"/>
        <v>-443.53</v>
      </c>
    </row>
    <row r="87" spans="1:11" x14ac:dyDescent="0.3">
      <c r="A87" s="6"/>
      <c r="H87" s="2">
        <f>H86+H83</f>
        <v>-612.14000000000021</v>
      </c>
      <c r="I87" s="2">
        <f t="shared" ref="I87:J87" si="1">I86+I83</f>
        <v>-777.12999999999988</v>
      </c>
      <c r="J87" s="2">
        <f t="shared" si="1"/>
        <v>-1366.84</v>
      </c>
    </row>
    <row r="88" spans="1:11" x14ac:dyDescent="0.3">
      <c r="A88" s="6" t="s">
        <v>75</v>
      </c>
      <c r="H88" s="36" cm="1">
        <f t="array" ref="H88">'DCF Model'!E44*(1-Tax_rate)</f>
        <v>465.34500000000105</v>
      </c>
      <c r="I88" s="36" cm="1">
        <f t="array" ref="I88">'DCF Model'!F44*(1-Tax_rate)</f>
        <v>974.68500000000029</v>
      </c>
      <c r="J88" s="36" cm="1">
        <f t="array" ref="J88">'DCF Model'!G44*(1-Tax_rate)</f>
        <v>1443.5849999999998</v>
      </c>
    </row>
    <row r="89" spans="1:11" x14ac:dyDescent="0.3">
      <c r="A89" s="6"/>
      <c r="H89" s="37">
        <f t="shared" ref="H89:J89" si="2">H87/H88</f>
        <v>-1.3154541254338155</v>
      </c>
      <c r="I89" s="37">
        <f t="shared" si="2"/>
        <v>-0.79731400401155206</v>
      </c>
      <c r="J89" s="37">
        <f t="shared" si="2"/>
        <v>-0.94683721429635259</v>
      </c>
    </row>
    <row r="90" spans="1:11" x14ac:dyDescent="0.3">
      <c r="A90" s="6"/>
    </row>
    <row r="91" spans="1:11" s="1" customFormat="1" x14ac:dyDescent="0.3">
      <c r="A91" s="1" t="s">
        <v>178</v>
      </c>
      <c r="B91">
        <v>177.8</v>
      </c>
      <c r="C91">
        <v>230.03</v>
      </c>
      <c r="D91">
        <v>241.27</v>
      </c>
      <c r="E91">
        <v>322.89999999999998</v>
      </c>
      <c r="F91">
        <v>500.7</v>
      </c>
      <c r="G91">
        <v>850.33</v>
      </c>
      <c r="H91">
        <v>916.63</v>
      </c>
      <c r="I91">
        <v>2632</v>
      </c>
      <c r="J91">
        <v>3550.1</v>
      </c>
      <c r="K91"/>
    </row>
    <row r="93" spans="1:11" s="1" customFormat="1" x14ac:dyDescent="0.3">
      <c r="A93" s="1" t="s">
        <v>179</v>
      </c>
    </row>
    <row r="94" spans="1:11" x14ac:dyDescent="0.3">
      <c r="A94" s="2" t="s">
        <v>180</v>
      </c>
      <c r="B94" s="2">
        <v>49.85</v>
      </c>
      <c r="C94" s="2">
        <v>49.85</v>
      </c>
      <c r="D94" s="2">
        <v>49.85</v>
      </c>
      <c r="E94" s="2">
        <v>53.32</v>
      </c>
      <c r="F94" s="2">
        <v>53.32</v>
      </c>
      <c r="G94" s="2">
        <v>53.32</v>
      </c>
      <c r="H94" s="2">
        <v>53.32</v>
      </c>
      <c r="I94" s="2">
        <v>53.32</v>
      </c>
      <c r="J94" s="2">
        <v>53.32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17F3A571-AB56-43BC-B1FD-D44A2DA23E35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DCF Model</vt:lpstr>
      <vt:lpstr>Comps</vt:lpstr>
      <vt:lpstr>Data Sheet</vt:lpstr>
      <vt:lpstr>Taper_rate</vt:lpstr>
      <vt:lpstr>Tax_rate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Talib Shaikh</cp:lastModifiedBy>
  <cp:revision/>
  <dcterms:created xsi:type="dcterms:W3CDTF">2026-08-08T14:27:03Z</dcterms:created>
  <dcterms:modified xsi:type="dcterms:W3CDTF">2026-09-23T08:38:58Z</dcterms:modified>
  <cp:category/>
  <cp:contentStatus/>
</cp:coreProperties>
</file>